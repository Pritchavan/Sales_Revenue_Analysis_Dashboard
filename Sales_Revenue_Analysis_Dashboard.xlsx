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riti\Desktop\sales_revenue_Analysis_Dashboard\"/>
    </mc:Choice>
  </mc:AlternateContent>
  <xr:revisionPtr revIDLastSave="0" documentId="13_ncr:1_{3EAE1D71-4C89-4A02-A20D-EF301E4122AF}" xr6:coauthVersionLast="47" xr6:coauthVersionMax="47" xr10:uidLastSave="{00000000-0000-0000-0000-000000000000}"/>
  <bookViews>
    <workbookView xWindow="-108" yWindow="-108" windowWidth="23256" windowHeight="12456" firstSheet="6" activeTab="7" xr2:uid="{5F10A16C-F088-46EF-8517-DECE2DAA1619}"/>
  </bookViews>
  <sheets>
    <sheet name="Monthly Revenue" sheetId="2" r:id="rId1"/>
    <sheet name="Revenue by Category" sheetId="4" r:id="rId2"/>
    <sheet name="Sum of Revenue " sheetId="5" r:id="rId3"/>
    <sheet name="Revenue by Sales Rep" sheetId="6" r:id="rId4"/>
    <sheet name="order ID" sheetId="9" r:id="rId5"/>
    <sheet name="Sum of Unit Sold" sheetId="10" r:id="rId6"/>
    <sheet name="Top 5 Products by Revenue " sheetId="12" r:id="rId7"/>
    <sheet name="Dashboard" sheetId="8" r:id="rId8"/>
    <sheet name="Dataset" sheetId="1" r:id="rId9"/>
  </sheets>
  <definedNames>
    <definedName name="Slicer_Category">#N/A</definedName>
    <definedName name="Slicer_Month">#N/A</definedName>
    <definedName name="Slicer_Region">#N/A</definedName>
    <definedName name="Slicer_Region1">#N/A</definedName>
    <definedName name="Slicer_Revenu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2" l="1"/>
  <c r="N15" i="1"/>
  <c r="A12" i="4"/>
  <c r="A6" i="9"/>
  <c r="A7" i="10"/>
  <c r="B11" i="5"/>
  <c r="B13" i="5"/>
  <c r="K13" i="1"/>
  <c r="K2" i="1"/>
  <c r="K3" i="1"/>
  <c r="K4" i="1"/>
  <c r="K5" i="1"/>
  <c r="K6" i="1"/>
  <c r="K7" i="1"/>
  <c r="K8" i="1"/>
  <c r="K9" i="1"/>
  <c r="K10" i="1"/>
  <c r="K11" i="1"/>
  <c r="K1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alcChain>
</file>

<file path=xl/sharedStrings.xml><?xml version="1.0" encoding="utf-8"?>
<sst xmlns="http://schemas.openxmlformats.org/spreadsheetml/2006/main" count="3319" uniqueCount="718">
  <si>
    <t>Order ID</t>
  </si>
  <si>
    <t>Order Date</t>
  </si>
  <si>
    <t>Product</t>
  </si>
  <si>
    <t>Category</t>
  </si>
  <si>
    <t>Region</t>
  </si>
  <si>
    <t>Sales Rep</t>
  </si>
  <si>
    <t>Units Sold</t>
  </si>
  <si>
    <t>Unit Price</t>
  </si>
  <si>
    <t>Revenue</t>
  </si>
  <si>
    <t>ORD1000</t>
  </si>
  <si>
    <t>Kids Story Collection</t>
  </si>
  <si>
    <t>Books</t>
  </si>
  <si>
    <t>South</t>
  </si>
  <si>
    <t>Rohan Mehta</t>
  </si>
  <si>
    <t>ORD1001</t>
  </si>
  <si>
    <t>Bluetooth Speaker</t>
  </si>
  <si>
    <t>Electronics</t>
  </si>
  <si>
    <t>West</t>
  </si>
  <si>
    <t>Aarav Shah</t>
  </si>
  <si>
    <t>ORD1002</t>
  </si>
  <si>
    <t>Bestseller Fiction Novel</t>
  </si>
  <si>
    <t>Isha Patel</t>
  </si>
  <si>
    <t>ORD1003</t>
  </si>
  <si>
    <t>Wireless Earbuds Pro</t>
  </si>
  <si>
    <t>North</t>
  </si>
  <si>
    <t>Sneha Iyer</t>
  </si>
  <si>
    <t>ORD1004</t>
  </si>
  <si>
    <t>Non-Stick Cookware Set</t>
  </si>
  <si>
    <t>Home &amp; Kitchen</t>
  </si>
  <si>
    <t>ORD1005</t>
  </si>
  <si>
    <t>Cricket Kit Set</t>
  </si>
  <si>
    <t>Sports</t>
  </si>
  <si>
    <t>Karan Verma</t>
  </si>
  <si>
    <t>ORD1006</t>
  </si>
  <si>
    <t>LED Desk Lamp</t>
  </si>
  <si>
    <t>East</t>
  </si>
  <si>
    <t>ORD1007</t>
  </si>
  <si>
    <t>Laptop Sleeve Case</t>
  </si>
  <si>
    <t>ORD1008</t>
  </si>
  <si>
    <t>ORD1009</t>
  </si>
  <si>
    <t>Women's Denim Jacket</t>
  </si>
  <si>
    <t>Clothing</t>
  </si>
  <si>
    <t>ORD1010</t>
  </si>
  <si>
    <t>ORD1011</t>
  </si>
  <si>
    <t>ORD1012</t>
  </si>
  <si>
    <t>4K Action Camera</t>
  </si>
  <si>
    <t>ORD1013</t>
  </si>
  <si>
    <t>Priya Nair</t>
  </si>
  <si>
    <t>ORD1014</t>
  </si>
  <si>
    <t>ORD1015</t>
  </si>
  <si>
    <t>Cotton Casual Shirt</t>
  </si>
  <si>
    <t>ORD1016</t>
  </si>
  <si>
    <t>Adjustable Dumbbells</t>
  </si>
  <si>
    <t>ORD1017</t>
  </si>
  <si>
    <t>ORD1018</t>
  </si>
  <si>
    <t>ORD1019</t>
  </si>
  <si>
    <t>ORD1020</t>
  </si>
  <si>
    <t>Yoga Mat Premium</t>
  </si>
  <si>
    <t>ORD1021</t>
  </si>
  <si>
    <t>Kids Winter Hoodie</t>
  </si>
  <si>
    <t>ORD1022</t>
  </si>
  <si>
    <t>ORD1023</t>
  </si>
  <si>
    <t>ORD1024</t>
  </si>
  <si>
    <t>ORD1025</t>
  </si>
  <si>
    <t>Formal Trouser Pair</t>
  </si>
  <si>
    <t>ORD1026</t>
  </si>
  <si>
    <t>ORD1027</t>
  </si>
  <si>
    <t>Self-Help Guide</t>
  </si>
  <si>
    <t>ORD1028</t>
  </si>
  <si>
    <t>ORD1029</t>
  </si>
  <si>
    <t>Electric Kettle</t>
  </si>
  <si>
    <t>ORD1030</t>
  </si>
  <si>
    <t>Smart Fitness Band</t>
  </si>
  <si>
    <t>ORD1031</t>
  </si>
  <si>
    <t>ORD1032</t>
  </si>
  <si>
    <t>ORD1033</t>
  </si>
  <si>
    <t>ORD1034</t>
  </si>
  <si>
    <t>ORD1035</t>
  </si>
  <si>
    <t>ORD1036</t>
  </si>
  <si>
    <t>ORD1037</t>
  </si>
  <si>
    <t>ORD1038</t>
  </si>
  <si>
    <t>ORD1039</t>
  </si>
  <si>
    <t>ORD1040</t>
  </si>
  <si>
    <t>ORD1041</t>
  </si>
  <si>
    <t>ORD1042</t>
  </si>
  <si>
    <t>ORD1043</t>
  </si>
  <si>
    <t>Memory Foam Pillow</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</si>
  <si>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</si>
  <si>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</si>
  <si>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</si>
  <si>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</si>
  <si>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</si>
  <si>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</si>
  <si>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</si>
  <si>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</si>
  <si>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</si>
  <si>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</si>
  <si>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</si>
  <si>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</si>
  <si>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</si>
  <si>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</si>
  <si>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</si>
  <si>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</si>
  <si>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</si>
  <si>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</si>
  <si>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</si>
  <si>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</si>
  <si>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Men's Running Shoes</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</si>
  <si>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</si>
  <si>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</si>
  <si>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</si>
  <si>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</si>
  <si>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</si>
  <si>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</si>
  <si>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</si>
  <si>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</si>
  <si>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</si>
  <si>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</si>
  <si>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</si>
  <si>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</si>
  <si>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</si>
  <si>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</si>
  <si>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</si>
  <si>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</si>
  <si>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</si>
  <si>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</si>
  <si>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</si>
  <si>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</si>
  <si>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</si>
  <si>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</si>
  <si>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</si>
  <si>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</si>
  <si>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</si>
  <si>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</si>
  <si>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</si>
  <si>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</si>
  <si>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</si>
  <si>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</si>
  <si>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</si>
  <si>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</si>
  <si>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</si>
  <si>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</si>
  <si>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</si>
  <si>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</si>
  <si>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</si>
  <si>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</si>
  <si>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</si>
  <si>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</si>
  <si>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</si>
  <si>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</si>
  <si>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</si>
  <si>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</si>
  <si>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</si>
  <si>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</si>
  <si>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</si>
  <si>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</si>
  <si>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</si>
  <si>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</si>
  <si>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</si>
  <si>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</si>
  <si>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</si>
  <si>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</si>
  <si>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</si>
  <si>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</si>
  <si>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</si>
  <si>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</si>
  <si>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</si>
  <si>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</si>
  <si>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</si>
  <si>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</si>
  <si>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</si>
  <si>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</si>
  <si>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</si>
  <si>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</si>
  <si>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</si>
  <si>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</si>
  <si>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</si>
  <si>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</si>
  <si>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</si>
  <si>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</si>
  <si>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</si>
  <si>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</si>
  <si>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</si>
  <si>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</si>
  <si>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</si>
  <si>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</si>
  <si>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</si>
  <si>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</si>
  <si>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</si>
  <si>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</si>
  <si>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</si>
  <si>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</si>
  <si>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</si>
  <si>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</si>
  <si>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</si>
  <si>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</si>
  <si>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</si>
  <si>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</si>
  <si>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</si>
  <si>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</si>
  <si>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</si>
  <si>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</si>
  <si>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</si>
  <si>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</si>
  <si>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</si>
  <si>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</si>
  <si>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</si>
  <si>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</si>
  <si>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</si>
  <si>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</si>
  <si>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</si>
  <si>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</si>
  <si>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</si>
  <si>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</si>
  <si>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</si>
  <si>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</si>
  <si>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</si>
  <si>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</si>
  <si>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</si>
  <si>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</si>
  <si>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</si>
  <si>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</si>
  <si>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</si>
  <si>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</si>
  <si>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</si>
  <si>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</si>
  <si>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</si>
  <si>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</si>
  <si>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</si>
  <si>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</si>
  <si>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</si>
  <si>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</si>
  <si>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</si>
  <si>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</si>
  <si>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</si>
  <si>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</si>
  <si>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</si>
  <si>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</si>
  <si>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</si>
  <si>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</si>
  <si>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</si>
  <si>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</si>
  <si>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</si>
  <si>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</si>
  <si>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</si>
  <si>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</si>
  <si>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</si>
  <si>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</si>
  <si>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</si>
  <si>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</si>
  <si>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</si>
  <si>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</si>
  <si>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</si>
  <si>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</si>
  <si>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</si>
  <si>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</si>
  <si>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</si>
  <si>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</si>
  <si>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</si>
  <si>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</si>
  <si>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</si>
  <si>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</si>
  <si>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</si>
  <si>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</si>
  <si>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</si>
  <si>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</si>
  <si>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</si>
  <si>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</si>
  <si>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</si>
  <si>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</si>
  <si>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</si>
  <si>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</si>
  <si>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</si>
  <si>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</si>
  <si>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</si>
  <si>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</si>
  <si>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</si>
  <si>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</si>
  <si>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</si>
  <si>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</si>
  <si>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</si>
  <si>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</si>
  <si>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</si>
  <si>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</si>
  <si>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</si>
  <si>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</si>
  <si>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</si>
  <si>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</si>
  <si>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</si>
  <si>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</si>
  <si>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</si>
  <si>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</si>
  <si>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</si>
  <si>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</si>
  <si>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</si>
  <si>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</si>
  <si>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</si>
  <si>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</si>
  <si>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</si>
  <si>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</si>
  <si>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</si>
  <si>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</si>
  <si>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</si>
  <si>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</si>
  <si>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</si>
  <si>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</si>
  <si>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</si>
  <si>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</si>
  <si>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</si>
  <si>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</si>
  <si>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</si>
  <si>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</si>
  <si>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</si>
  <si>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</si>
  <si>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</si>
  <si>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</si>
  <si>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</si>
  <si>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</si>
  <si>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</si>
  <si>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</si>
  <si>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</si>
  <si>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</si>
  <si>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</si>
  <si>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</si>
  <si>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</si>
  <si>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</si>
  <si>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</si>
  <si>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</si>
  <si>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</si>
  <si>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</si>
  <si>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</si>
  <si>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</si>
  <si>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</si>
  <si>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</si>
  <si>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</si>
  <si>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</si>
  <si>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</si>
  <si>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</si>
  <si>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</si>
  <si>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</si>
  <si>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</si>
  <si>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</si>
  <si>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</si>
  <si>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</si>
  <si>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</si>
  <si>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</si>
  <si>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</si>
  <si>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</si>
  <si>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</si>
  <si>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</si>
  <si>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</si>
  <si>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</si>
  <si>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</si>
  <si>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</si>
  <si>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</si>
  <si>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</si>
  <si>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</si>
  <si>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</si>
  <si>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</si>
  <si>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</si>
  <si>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</si>
  <si>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</si>
  <si>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</si>
  <si>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</si>
  <si>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</si>
  <si>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</si>
  <si>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</si>
  <si>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</si>
  <si>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</si>
  <si>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</si>
  <si>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</si>
  <si>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</si>
  <si>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</si>
  <si>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</si>
  <si>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</si>
  <si>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</si>
  <si>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</si>
  <si>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</si>
  <si>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</si>
  <si>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</si>
  <si>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</si>
  <si>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</si>
  <si>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</si>
  <si>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</si>
  <si>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</si>
  <si>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</si>
  <si>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</si>
  <si>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</si>
  <si>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</si>
  <si>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</si>
  <si>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</si>
  <si>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</si>
  <si>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</si>
  <si>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</si>
  <si>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</si>
  <si>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</si>
  <si>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</si>
  <si>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</si>
  <si>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</si>
  <si>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</si>
  <si>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</si>
  <si>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</si>
  <si>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</si>
  <si>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</si>
  <si>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</si>
  <si>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</si>
  <si>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</si>
  <si>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</si>
  <si>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</si>
  <si>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</si>
  <si>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</si>
  <si>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</si>
  <si>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</si>
  <si>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</si>
  <si>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</si>
  <si>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</si>
  <si>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</si>
  <si>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</si>
  <si>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</si>
  <si>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</si>
  <si>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</si>
  <si>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</si>
  <si>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</si>
  <si>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</si>
  <si>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</si>
  <si>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</si>
  <si>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</si>
  <si>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</si>
  <si>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</si>
  <si>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</si>
  <si>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</si>
  <si>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</si>
  <si>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</si>
  <si>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</si>
  <si>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</si>
  <si>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</si>
  <si>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</si>
  <si>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</si>
  <si>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</si>
  <si>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</si>
  <si>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</si>
  <si>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</si>
  <si>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</si>
  <si>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</si>
  <si>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</si>
  <si>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</si>
  <si>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</si>
  <si>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</si>
  <si>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</si>
  <si>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</si>
  <si>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</si>
  <si>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</si>
  <si>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</si>
  <si>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</si>
  <si>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</si>
  <si>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</si>
  <si>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</si>
  <si>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</si>
  <si>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</si>
  <si>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</si>
  <si>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</si>
  <si>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</si>
  <si>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</si>
  <si>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</si>
  <si>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</si>
  <si>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</si>
  <si>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</si>
  <si>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</si>
  <si>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</si>
  <si>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</si>
  <si>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</si>
  <si>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</si>
  <si>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</si>
  <si>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</si>
  <si>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</si>
  <si>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</si>
  <si>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</si>
  <si>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</si>
  <si>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</si>
  <si>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</si>
  <si>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</si>
  <si>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</si>
  <si>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</si>
  <si>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</si>
  <si>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</si>
  <si>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</si>
  <si>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</si>
  <si>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</si>
  <si>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</si>
  <si>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</si>
  <si>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</si>
  <si>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</si>
  <si>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</si>
  <si>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</si>
  <si>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</si>
  <si>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</si>
  <si>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</si>
  <si>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</si>
  <si>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</si>
  <si>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</si>
  <si>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</si>
  <si>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</si>
  <si>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</si>
  <si>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</si>
  <si>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</si>
  <si>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</si>
  <si>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</si>
  <si>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</si>
  <si>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</si>
  <si>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</si>
  <si>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</si>
  <si>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</si>
  <si>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</si>
  <si>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</si>
  <si>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</si>
  <si>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</si>
  <si>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</si>
  <si>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</si>
  <si>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</si>
  <si>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</si>
  <si>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</si>
  <si>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</si>
  <si>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</si>
  <si>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</si>
  <si>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</si>
  <si>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</si>
  <si>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</si>
  <si>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</si>
  <si>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</si>
  <si>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</si>
  <si>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</si>
  <si>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</si>
  <si>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</si>
  <si>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</si>
  <si>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</si>
  <si>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</si>
  <si>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</si>
  <si>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</si>
  <si>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</si>
  <si>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</si>
  <si>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</si>
  <si>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</si>
  <si>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</si>
  <si>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</si>
  <si>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</si>
  <si>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</si>
  <si>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</si>
  <si>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</si>
  <si>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</si>
  <si>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</si>
  <si>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</si>
  <si>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</si>
  <si>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</si>
  <si>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</si>
  <si>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</si>
  <si>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</si>
  <si>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</si>
  <si>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</si>
  <si>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</si>
  <si>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</si>
  <si>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</si>
  <si>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</si>
  <si>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</si>
  <si>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</si>
  <si>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</si>
  <si>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</si>
  <si>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</si>
  <si>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</si>
  <si>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</si>
  <si>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</si>
  <si>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</si>
  <si>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</si>
  <si>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</si>
  <si>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</si>
  <si>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</si>
  <si>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</si>
  <si>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</si>
  <si>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</si>
  <si>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</si>
  <si>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</si>
  <si>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</si>
  <si>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</si>
  <si>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</si>
  <si>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</si>
  <si>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</si>
  <si>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</si>
  <si>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</si>
  <si>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</si>
  <si>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</si>
  <si>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</si>
  <si>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</si>
  <si>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</si>
  <si>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</si>
  <si>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</si>
  <si>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</si>
  <si>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</si>
  <si>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</si>
  <si>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</si>
  <si>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</si>
  <si>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</si>
  <si>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</si>
  <si>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</si>
  <si>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</si>
  <si>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</si>
  <si>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</si>
  <si>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</si>
  <si>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</si>
  <si>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</si>
  <si>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</si>
  <si>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</si>
  <si>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</si>
  <si>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</si>
  <si>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</si>
  <si>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</si>
  <si>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</si>
  <si>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</si>
  <si>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</si>
  <si>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</si>
  <si>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</si>
  <si>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</si>
  <si>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</si>
  <si>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</si>
  <si>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</si>
  <si>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</si>
  <si>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</si>
  <si>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</si>
  <si>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</si>
  <si>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</si>
  <si>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</si>
  <si>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</si>
  <si>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</si>
  <si>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</si>
  <si>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</si>
  <si>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</si>
  <si>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</si>
  <si>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</si>
  <si>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</si>
  <si>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</si>
  <si>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</si>
  <si>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</si>
  <si>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</si>
  <si>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</si>
  <si>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</si>
  <si>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</si>
  <si>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</si>
  <si>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</si>
  <si>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</si>
  <si>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</si>
  <si>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</si>
  <si>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</si>
  <si>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</si>
  <si>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</si>
  <si>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</si>
  <si>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</si>
  <si>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</si>
  <si>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</si>
  <si>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</si>
  <si>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</si>
  <si>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</si>
  <si>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</si>
  <si>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</si>
  <si>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</si>
  <si>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</si>
  <si>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</si>
  <si>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</si>
  <si>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</si>
  <si>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</si>
  <si>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</si>
  <si>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</si>
  <si>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</si>
  <si>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</si>
  <si>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</si>
  <si>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</si>
  <si>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</si>
  <si>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</si>
  <si>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</si>
  <si>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</si>
  <si>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</si>
  <si>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</si>
  <si>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</si>
  <si>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</si>
  <si>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</si>
  <si>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</si>
  <si>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</si>
  <si>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</si>
  <si>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</si>
  <si>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</si>
  <si>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</si>
  <si>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</si>
  <si>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</si>
  <si>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</si>
  <si>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</si>
  <si>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</si>
  <si>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</si>
  <si>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Month</t>
  </si>
  <si>
    <t>Year</t>
  </si>
  <si>
    <t>Row Labels</t>
  </si>
  <si>
    <t>Jan</t>
  </si>
  <si>
    <t>Feb</t>
  </si>
  <si>
    <t>Mar</t>
  </si>
  <si>
    <t>Apr</t>
  </si>
  <si>
    <t>May</t>
  </si>
  <si>
    <t>Jun</t>
  </si>
  <si>
    <t>Jul</t>
  </si>
  <si>
    <t>Aug</t>
  </si>
  <si>
    <t>Sep</t>
  </si>
  <si>
    <t>Oct</t>
  </si>
  <si>
    <t>Nov</t>
  </si>
  <si>
    <t>Dec</t>
  </si>
  <si>
    <t>Grand Total</t>
  </si>
  <si>
    <t>Sum of Revenue</t>
  </si>
  <si>
    <t>Count of Order ID</t>
  </si>
  <si>
    <t>Sum of Units Sold</t>
  </si>
  <si>
    <t>(All)</t>
  </si>
  <si>
    <t>Revenue by Sales Rep</t>
  </si>
  <si>
    <t>Monthly Revenue</t>
  </si>
  <si>
    <t>Revenue by Category</t>
  </si>
  <si>
    <t xml:space="preserve">Top 5 Products by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</si>
</sst>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
    <numFmt numFmtId="166" formatCode="&quot;$&quot;0.0,&quot;M&quot;"/>
    <numFmt numFmtId="167" formatCode="\₹0.0,&quot;M&quot;"/>
    <numFmt numFmtId="168" formatCode="\₹0.00,,&quot;M&quot;"/>
    <numFmt numFmtId="169" formatCode="[$-14009]dd\-mm\-yyyy;@"/>
  </numFmts>
  <fonts count="6" x14ac:knownFonts="1">
    <font>
      <sz val="11"/>
      <color theme="1"/>
      <name val="Calibri"/>
      <family val="2"/>
      <scheme val="minor"/>
    </font>
    <font>
      <b/>
      <sz val="11"/>
      <color rgb="FFFFFFFF"/>
      <name val="Arial"/>
    </font>
    <font>
      <sz val="10.5"/>
      <name val="Arial"/>
    </font>
    <font>
      <sz val="8"/>
      <name val="Calibri"/>
      <family val="2"/>
      <scheme val="minor"/>
    </font>
    <font>
      <b/>
      <sz val="11"/>
      <color rgb="FFFFFFFF"/>
      <name val="Arial"/>
      <family val="2"/>
    </font>
    <font>
      <sz val="14"/>
      <color rgb="FF595959"/>
      <name val="Calibri"/>
      <family val="2"/>
      <scheme val="minor"/>
    </font>
  </fonts>
  <fills count="4">
    <fill>
      <patternFill patternType="none"/>
    </fill>
    <fill>
      <patternFill patternType="gray125"/>
    </fill>
    <fill>
      <patternFill patternType="solid">
        <fgColor rgb="FF1F3864"/>
        <bgColor rgb="FF1F3864"/>
      </patternFill>
    </fill>
    <fill>
      <patternFill patternType="solid">
        <fgColor rgb="FFFFFF00"/>
        <bgColor indexed="64"/>
      </patternFill>
    </fill>
  </fills>
  <borders count="16">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left" vertical="center"/>
    </xf>
    <xf numFmtId="165" fontId="2" fillId="0" borderId="0" xfId="0" applyNumberFormat="1" applyFont="1" applyAlignment="1">
      <alignment horizontal="left"/>
    </xf>
    <xf numFmtId="0" fontId="0" fillId="0" borderId="0" xfId="0" applyAlignment="1">
      <alignment horizontal="left"/>
    </xf>
    <xf numFmtId="0" fontId="2" fillId="0" borderId="0" xfId="0" applyFont="1" applyAlignment="1">
      <alignment horizontal="left"/>
    </xf>
    <xf numFmtId="165" fontId="0" fillId="0" borderId="0" xfId="0" applyNumberFormat="1"/>
    <xf numFmtId="0" fontId="4" fillId="2" borderId="0" xfId="0" applyFont="1" applyFill="1" applyAlignment="1">
      <alignment horizontal="left" vertical="center"/>
    </xf>
    <xf numFmtId="169" fontId="1" fillId="2" borderId="0" xfId="0" applyNumberFormat="1" applyFont="1" applyFill="1" applyAlignment="1">
      <alignment horizontal="left" vertical="center"/>
    </xf>
    <xf numFmtId="169" fontId="2" fillId="0" borderId="0" xfId="0" applyNumberFormat="1" applyFont="1" applyAlignment="1">
      <alignment horizontal="left"/>
    </xf>
    <xf numFmtId="169" fontId="0" fillId="0" borderId="0" xfId="0" applyNumberFormat="1" applyAlignment="1">
      <alignment horizontal="left"/>
    </xf>
    <xf numFmtId="0" fontId="0" fillId="0" borderId="1" xfId="0" applyBorder="1"/>
    <xf numFmtId="0" fontId="0" fillId="0" borderId="4" xfId="0" applyBorder="1"/>
    <xf numFmtId="0" fontId="0" fillId="0" borderId="5" xfId="0"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3" xfId="0" applyBorder="1"/>
    <xf numFmtId="167" fontId="0" fillId="0" borderId="0" xfId="0" applyNumberFormat="1"/>
    <xf numFmtId="166" fontId="0" fillId="0" borderId="0" xfId="0" applyNumberFormat="1"/>
    <xf numFmtId="168" fontId="0" fillId="0" borderId="0" xfId="0" applyNumberFormat="1"/>
    <xf numFmtId="165" fontId="0" fillId="0" borderId="11" xfId="0" applyNumberFormat="1" applyBorder="1"/>
    <xf numFmtId="165" fontId="0" fillId="0" borderId="12" xfId="0" applyNumberFormat="1" applyBorder="1"/>
    <xf numFmtId="165" fontId="0" fillId="0" borderId="13" xfId="0" applyNumberFormat="1" applyBorder="1"/>
    <xf numFmtId="0" fontId="0" fillId="0" borderId="2" xfId="0" pivotButton="1" applyBorder="1"/>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2" xfId="0" applyBorder="1" applyAlignment="1">
      <alignment horizontal="left"/>
    </xf>
    <xf numFmtId="0" fontId="0" fillId="0" borderId="2" xfId="0" applyBorder="1"/>
    <xf numFmtId="0" fontId="0" fillId="0" borderId="14" xfId="0" pivotButton="1" applyBorder="1"/>
    <xf numFmtId="0" fontId="0" fillId="0" borderId="15" xfId="0" applyBorder="1"/>
    <xf numFmtId="0" fontId="0" fillId="3" borderId="6" xfId="0" applyFill="1" applyBorder="1" applyAlignment="1">
      <alignment horizontal="center"/>
    </xf>
    <xf numFmtId="0" fontId="0" fillId="3" borderId="0" xfId="0" applyFill="1" applyAlignment="1">
      <alignment horizontal="center"/>
    </xf>
    <xf numFmtId="0" fontId="5" fillId="3" borderId="3" xfId="0" applyFont="1" applyFill="1" applyBorder="1" applyAlignment="1">
      <alignment horizontal="center" vertical="center" readingOrder="1"/>
    </xf>
    <xf numFmtId="0" fontId="5" fillId="3" borderId="4" xfId="0" applyFont="1" applyFill="1" applyBorder="1" applyAlignment="1">
      <alignment horizontal="center" vertical="center" readingOrder="1"/>
    </xf>
    <xf numFmtId="0" fontId="5" fillId="3" borderId="5" xfId="0" applyFont="1" applyFill="1" applyBorder="1" applyAlignment="1">
      <alignment horizontal="center" vertical="center" readingOrder="1"/>
    </xf>
    <xf numFmtId="0" fontId="0" fillId="3" borderId="7"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5" fillId="3" borderId="6" xfId="0" applyFont="1" applyFill="1" applyBorder="1" applyAlignment="1">
      <alignment horizontal="center" vertical="center" readingOrder="1"/>
    </xf>
    <xf numFmtId="0" fontId="5" fillId="3" borderId="0" xfId="0" applyFont="1" applyFill="1" applyAlignment="1">
      <alignment horizontal="center" vertical="center" readingOrder="1"/>
    </xf>
    <xf numFmtId="0" fontId="5" fillId="3" borderId="7" xfId="0" applyFont="1" applyFill="1" applyBorder="1" applyAlignment="1">
      <alignment horizontal="center" vertical="center" readingOrder="1"/>
    </xf>
    <xf numFmtId="0" fontId="0" fillId="0" borderId="2" xfId="0" applyNumberFormat="1" applyBorder="1"/>
  </cellXfs>
  <cellStyles count="1">
    <cellStyle name="Normal" xfId="0" builtinId="0"/>
  </cellStyles>
  <dxfs count="13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0.5"/>
        <color auto="1"/>
        <name val="Arial"/>
        <scheme val="none"/>
      </font>
      <numFmt numFmtId="0" formatCode="General"/>
      <alignment horizontal="left" vertical="bottom" textRotation="0" wrapText="0" indent="0" justifyLastLine="0" shrinkToFit="0" readingOrder="0"/>
    </dxf>
    <dxf>
      <font>
        <sz val="10.5"/>
        <color auto="1"/>
        <name val="Arial"/>
        <scheme val="none"/>
      </font>
      <numFmt numFmtId="165" formatCode="\₹#,##0.00"/>
      <alignment horizontal="left" textRotation="0" wrapText="0" indent="0" justifyLastLine="0" shrinkToFit="0" readingOrder="0"/>
    </dxf>
    <dxf>
      <font>
        <b val="0"/>
        <i val="0"/>
        <strike val="0"/>
        <condense val="0"/>
        <extend val="0"/>
        <outline val="0"/>
        <shadow val="0"/>
        <u val="none"/>
        <vertAlign val="baseline"/>
        <sz val="10.5"/>
        <color auto="1"/>
        <name val="Arial"/>
        <scheme val="none"/>
      </font>
      <numFmt numFmtId="165" formatCode="\₹#,##0.00"/>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numFmt numFmtId="169" formatCode="[$-14009]dd\-mm\-yyyy;@"/>
      <alignment horizontal="left" textRotation="0" wrapText="0" indent="0" justifyLastLine="0" shrinkToFit="0" readingOrder="0"/>
    </dxf>
    <dxf>
      <alignment horizontal="left"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0B1F3A"/>
      <color rgb="FFFFFFFF"/>
      <color rgb="FF1F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[Sales_Revenue_Analysis_Dashboard.xlsx]Monthly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\₹#,##0.00</c:formatCode>
                <c:ptCount val="12"/>
                <c:pt idx="0">
                  <c:v>534241.55000000005</c:v>
                </c:pt>
                <c:pt idx="1">
                  <c:v>325580.45</c:v>
                </c:pt>
                <c:pt idx="2">
                  <c:v>341270.05</c:v>
                </c:pt>
                <c:pt idx="3">
                  <c:v>596800.30000000005</c:v>
                </c:pt>
                <c:pt idx="4">
                  <c:v>404613.64999999997</c:v>
                </c:pt>
                <c:pt idx="5">
                  <c:v>652867.75</c:v>
                </c:pt>
                <c:pt idx="6">
                  <c:v>387181.09999999992</c:v>
                </c:pt>
                <c:pt idx="7">
                  <c:v>346721.39999999997</c:v>
                </c:pt>
                <c:pt idx="8">
                  <c:v>333063.44999999995</c:v>
                </c:pt>
                <c:pt idx="9">
                  <c:v>636141.19999999995</c:v>
                </c:pt>
                <c:pt idx="10">
                  <c:v>536762.50000000012</c:v>
                </c:pt>
                <c:pt idx="11">
                  <c:v>476426.30000000005</c:v>
                </c:pt>
              </c:numCache>
            </c:numRef>
          </c:val>
          <c:smooth val="0"/>
          <c:extLst>
            <c:ext xmlns:c16="http://schemas.microsoft.com/office/drawing/2014/chart" uri="{C3380CC4-5D6E-409C-BE32-E72D297353CC}">
              <c16:uniqueId val="{00000000-8E40-4DBD-88C8-AB146405BBE3}"/>
            </c:ext>
          </c:extLst>
        </c:ser>
        <c:dLbls>
          <c:showLegendKey val="0"/>
          <c:showVal val="0"/>
          <c:showCatName val="0"/>
          <c:showSerName val="0"/>
          <c:showPercent val="0"/>
          <c:showBubbleSize val="0"/>
        </c:dLbls>
        <c:marker val="1"/>
        <c:smooth val="0"/>
        <c:axId val="272415247"/>
        <c:axId val="272413807"/>
      </c:lineChart>
      <c:catAx>
        <c:axId val="27241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3807"/>
        <c:crosses val="autoZero"/>
        <c:auto val="1"/>
        <c:lblAlgn val="ctr"/>
        <c:lblOffset val="100"/>
        <c:noMultiLvlLbl val="0"/>
      </c:catAx>
      <c:valAx>
        <c:axId val="272413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[Sales_Revenue_Analysis_Dashboard.xlsx]Revenue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Category'!$A$4:$A$9</c:f>
              <c:strCache>
                <c:ptCount val="5"/>
                <c:pt idx="0">
                  <c:v>Books</c:v>
                </c:pt>
                <c:pt idx="1">
                  <c:v>Clothing</c:v>
                </c:pt>
                <c:pt idx="2">
                  <c:v>Electronics</c:v>
                </c:pt>
                <c:pt idx="3">
                  <c:v>Home &amp; Kitchen</c:v>
                </c:pt>
                <c:pt idx="4">
                  <c:v>Sports</c:v>
                </c:pt>
              </c:strCache>
            </c:strRef>
          </c:cat>
          <c:val>
            <c:numRef>
              <c:f>'Revenue by Category'!$B$4:$B$9</c:f>
              <c:numCache>
                <c:formatCode>\₹#,##0.00</c:formatCode>
                <c:ptCount val="5"/>
                <c:pt idx="0">
                  <c:v>130220.2</c:v>
                </c:pt>
                <c:pt idx="1">
                  <c:v>859132.00000000023</c:v>
                </c:pt>
                <c:pt idx="2">
                  <c:v>1918711.3000000003</c:v>
                </c:pt>
                <c:pt idx="3">
                  <c:v>1005979.0999999999</c:v>
                </c:pt>
                <c:pt idx="4">
                  <c:v>1657627.0999999999</c:v>
                </c:pt>
              </c:numCache>
            </c:numRef>
          </c:val>
          <c:extLst>
            <c:ext xmlns:c16="http://schemas.microsoft.com/office/drawing/2014/chart" uri="{C3380CC4-5D6E-409C-BE32-E72D297353CC}">
              <c16:uniqueId val="{00000000-0511-4308-80DF-87E8A7375FE1}"/>
            </c:ext>
          </c:extLst>
        </c:ser>
        <c:dLbls>
          <c:showLegendKey val="0"/>
          <c:showVal val="0"/>
          <c:showCatName val="0"/>
          <c:showSerName val="0"/>
          <c:showPercent val="0"/>
          <c:showBubbleSize val="0"/>
        </c:dLbls>
        <c:gapWidth val="219"/>
        <c:overlap val="-27"/>
        <c:axId val="326522895"/>
        <c:axId val="326523375"/>
      </c:barChart>
      <c:catAx>
        <c:axId val="3265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3375"/>
        <c:crosses val="autoZero"/>
        <c:auto val="1"/>
        <c:lblAlgn val="ctr"/>
        <c:lblOffset val="100"/>
        <c:noMultiLvlLbl val="0"/>
      </c:catAx>
      <c:valAx>
        <c:axId val="326523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[Sales_Revenue_Analysis_Dashboard.xlsx]Sum of Revenue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'Sum of Revenue '!$B$4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04E-46D3-80D2-FE021E1E2987}"/>
              </c:ext>
            </c:extLst>
          </c:dPt>
          <c:dPt>
            <c:idx val="1"/>
            <c:bubble3D val="0"/>
            <c:spPr>
              <a:solidFill>
                <a:schemeClr val="accent2"/>
              </a:solidFill>
              <a:ln>
                <a:noFill/>
              </a:ln>
              <a:effectLst/>
            </c:spPr>
            <c:extLst>
              <c:ext xmlns:c16="http://schemas.microsoft.com/office/drawing/2014/chart" uri="{C3380CC4-5D6E-409C-BE32-E72D297353CC}">
                <c16:uniqueId val="{00000003-C04E-46D3-80D2-FE021E1E2987}"/>
              </c:ext>
            </c:extLst>
          </c:dPt>
          <c:dPt>
            <c:idx val="2"/>
            <c:bubble3D val="0"/>
            <c:spPr>
              <a:solidFill>
                <a:schemeClr val="accent3"/>
              </a:solidFill>
              <a:ln>
                <a:noFill/>
              </a:ln>
              <a:effectLst/>
            </c:spPr>
            <c:extLst>
              <c:ext xmlns:c16="http://schemas.microsoft.com/office/drawing/2014/chart" uri="{C3380CC4-5D6E-409C-BE32-E72D297353CC}">
                <c16:uniqueId val="{00000005-C04E-46D3-80D2-FE021E1E2987}"/>
              </c:ext>
            </c:extLst>
          </c:dPt>
          <c:dPt>
            <c:idx val="3"/>
            <c:bubble3D val="0"/>
            <c:spPr>
              <a:solidFill>
                <a:schemeClr val="accent4"/>
              </a:solidFill>
              <a:ln>
                <a:noFill/>
              </a:ln>
              <a:effectLst/>
            </c:spPr>
            <c:extLst>
              <c:ext xmlns:c16="http://schemas.microsoft.com/office/drawing/2014/chart" uri="{C3380CC4-5D6E-409C-BE32-E72D297353CC}">
                <c16:uniqueId val="{00000007-C04E-46D3-80D2-FE021E1E2987}"/>
              </c:ext>
            </c:extLst>
          </c:dPt>
          <c:cat>
            <c:strRef>
              <c:f>'Sum of Revenue '!$A$5:$A$9</c:f>
              <c:strCache>
                <c:ptCount val="4"/>
                <c:pt idx="0">
                  <c:v>East</c:v>
                </c:pt>
                <c:pt idx="1">
                  <c:v>North</c:v>
                </c:pt>
                <c:pt idx="2">
                  <c:v>South</c:v>
                </c:pt>
                <c:pt idx="3">
                  <c:v>West</c:v>
                </c:pt>
              </c:strCache>
            </c:strRef>
          </c:cat>
          <c:val>
            <c:numRef>
              <c:f>'Sum of Revenue '!$B$5:$B$9</c:f>
              <c:numCache>
                <c:formatCode>\₹#,##0.00</c:formatCode>
                <c:ptCount val="4"/>
                <c:pt idx="0">
                  <c:v>1036209.2499999999</c:v>
                </c:pt>
                <c:pt idx="1">
                  <c:v>1936643.2999999998</c:v>
                </c:pt>
                <c:pt idx="2">
                  <c:v>1448658.1500000004</c:v>
                </c:pt>
                <c:pt idx="3">
                  <c:v>1150158.9999999995</c:v>
                </c:pt>
              </c:numCache>
            </c:numRef>
          </c:val>
          <c:extLst>
            <c:ext xmlns:c16="http://schemas.microsoft.com/office/drawing/2014/chart" uri="{C3380CC4-5D6E-409C-BE32-E72D297353CC}">
              <c16:uniqueId val="{00000000-7EDA-4483-843E-BAFAC360E3B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[Sales_Revenue_Analysis_Dashboard.xlsx]Revenue by Sales Rep!PivotTable4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 Rep'!$B$4</c:f>
              <c:strCache>
                <c:ptCount val="1"/>
                <c:pt idx="0">
                  <c:v>Total</c:v>
                </c:pt>
              </c:strCache>
            </c:strRef>
          </c:tx>
          <c:spPr>
            <a:solidFill>
              <a:schemeClr val="accent1"/>
            </a:solidFill>
            <a:ln>
              <a:noFill/>
            </a:ln>
            <a:effectLst/>
          </c:spPr>
          <c:invertIfNegative val="0"/>
          <c:cat>
            <c:strRef>
              <c:f>'Revenue by Sales Rep'!$A$5:$A$11</c:f>
              <c:strCache>
                <c:ptCount val="6"/>
                <c:pt idx="0">
                  <c:v>Aarav Shah</c:v>
                </c:pt>
                <c:pt idx="1">
                  <c:v>Isha Patel</c:v>
                </c:pt>
                <c:pt idx="2">
                  <c:v>Karan Verma</c:v>
                </c:pt>
                <c:pt idx="3">
                  <c:v>Priya Nair</c:v>
                </c:pt>
                <c:pt idx="4">
                  <c:v>Rohan Mehta</c:v>
                </c:pt>
                <c:pt idx="5">
                  <c:v>Sneha Iyer</c:v>
                </c:pt>
              </c:strCache>
            </c:strRef>
          </c:cat>
          <c:val>
            <c:numRef>
              <c:f>'Revenue by Sales Rep'!$B$5:$B$11</c:f>
              <c:numCache>
                <c:formatCode>\₹#,##0.00</c:formatCode>
                <c:ptCount val="6"/>
                <c:pt idx="0">
                  <c:v>900523</c:v>
                </c:pt>
                <c:pt idx="1">
                  <c:v>1013072.05</c:v>
                </c:pt>
                <c:pt idx="2">
                  <c:v>1037551.45</c:v>
                </c:pt>
                <c:pt idx="3">
                  <c:v>918684.79999999993</c:v>
                </c:pt>
                <c:pt idx="4">
                  <c:v>848197.65</c:v>
                </c:pt>
                <c:pt idx="5">
                  <c:v>853640.75000000012</c:v>
                </c:pt>
              </c:numCache>
            </c:numRef>
          </c:val>
          <c:extLst>
            <c:ext xmlns:c16="http://schemas.microsoft.com/office/drawing/2014/chart" uri="{C3380CC4-5D6E-409C-BE32-E72D297353CC}">
              <c16:uniqueId val="{00000000-FDC3-4A45-A86F-6DE6FB4F4000}"/>
            </c:ext>
          </c:extLst>
        </c:ser>
        <c:dLbls>
          <c:showLegendKey val="0"/>
          <c:showVal val="0"/>
          <c:showCatName val="0"/>
          <c:showSerName val="0"/>
          <c:showPercent val="0"/>
          <c:showBubbleSize val="0"/>
        </c:dLbls>
        <c:gapWidth val="219"/>
        <c:overlap val="-27"/>
        <c:axId val="370338815"/>
        <c:axId val="370347935"/>
      </c:barChart>
      <c:catAx>
        <c:axId val="37033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47935"/>
        <c:crosses val="autoZero"/>
        <c:auto val="1"/>
        <c:lblAlgn val="ctr"/>
        <c:lblOffset val="100"/>
        <c:noMultiLvlLbl val="0"/>
      </c:catAx>
      <c:valAx>
        <c:axId val="370347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3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[Sales_Revenue_Analysis_Dashboard.xlsx]Top 5 Products by Revenue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 by Revenue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 by Revenue '!$A$4:$A$9</c:f>
              <c:strCache>
                <c:ptCount val="5"/>
                <c:pt idx="0">
                  <c:v>4K Action Camera</c:v>
                </c:pt>
                <c:pt idx="1">
                  <c:v>Cricket Kit Set</c:v>
                </c:pt>
                <c:pt idx="2">
                  <c:v>Non-Stick Cookware Set</c:v>
                </c:pt>
                <c:pt idx="3">
                  <c:v>Adjustable Dumbbells</c:v>
                </c:pt>
                <c:pt idx="4">
                  <c:v>Men's Running Shoes</c:v>
                </c:pt>
              </c:strCache>
            </c:strRef>
          </c:cat>
          <c:val>
            <c:numRef>
              <c:f>'Top 5 Products by Revenue '!$B$4:$B$9</c:f>
              <c:numCache>
                <c:formatCode>\₹#,##0.00</c:formatCode>
                <c:ptCount val="5"/>
                <c:pt idx="0">
                  <c:v>846021.15</c:v>
                </c:pt>
                <c:pt idx="1">
                  <c:v>604665.59999999998</c:v>
                </c:pt>
                <c:pt idx="2">
                  <c:v>577335</c:v>
                </c:pt>
                <c:pt idx="3">
                  <c:v>544263.89999999991</c:v>
                </c:pt>
                <c:pt idx="4">
                  <c:v>362560.1</c:v>
                </c:pt>
              </c:numCache>
            </c:numRef>
          </c:val>
          <c:extLst>
            <c:ext xmlns:c16="http://schemas.microsoft.com/office/drawing/2014/chart" uri="{C3380CC4-5D6E-409C-BE32-E72D297353CC}">
              <c16:uniqueId val="{00000000-1A66-4F77-99F9-F19DA6ACAB0C}"/>
            </c:ext>
          </c:extLst>
        </c:ser>
        <c:dLbls>
          <c:dLblPos val="outEnd"/>
          <c:showLegendKey val="0"/>
          <c:showVal val="1"/>
          <c:showCatName val="0"/>
          <c:showSerName val="0"/>
          <c:showPercent val="0"/>
          <c:showBubbleSize val="0"/>
        </c:dLbls>
        <c:gapWidth val="182"/>
        <c:axId val="1827831120"/>
        <c:axId val="2074807200"/>
      </c:barChart>
      <c:catAx>
        <c:axId val="182783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07200"/>
        <c:crosses val="autoZero"/>
        <c:auto val="1"/>
        <c:lblAlgn val="ctr"/>
        <c:lblOffset val="100"/>
        <c:noMultiLvlLbl val="0"/>
      </c:catAx>
      <c:valAx>
        <c:axId val="20748072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83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[Sales_Revenue_Analysis_Dashboard.xlsx]Revenue by Category!PivotTable2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Category'!$A$4:$A$9</c:f>
              <c:strCache>
                <c:ptCount val="5"/>
                <c:pt idx="0">
                  <c:v>Books</c:v>
                </c:pt>
                <c:pt idx="1">
                  <c:v>Clothing</c:v>
                </c:pt>
                <c:pt idx="2">
                  <c:v>Electronics</c:v>
                </c:pt>
                <c:pt idx="3">
                  <c:v>Home &amp; Kitchen</c:v>
                </c:pt>
                <c:pt idx="4">
                  <c:v>Sports</c:v>
                </c:pt>
              </c:strCache>
            </c:strRef>
          </c:cat>
          <c:val>
            <c:numRef>
              <c:f>'Revenue by Category'!$B$4:$B$9</c:f>
              <c:numCache>
                <c:formatCode>\₹#,##0.00</c:formatCode>
                <c:ptCount val="5"/>
                <c:pt idx="0">
                  <c:v>130220.2</c:v>
                </c:pt>
                <c:pt idx="1">
                  <c:v>859132.00000000023</c:v>
                </c:pt>
                <c:pt idx="2">
                  <c:v>1918711.3000000003</c:v>
                </c:pt>
                <c:pt idx="3">
                  <c:v>1005979.0999999999</c:v>
                </c:pt>
                <c:pt idx="4">
                  <c:v>1657627.0999999999</c:v>
                </c:pt>
              </c:numCache>
            </c:numRef>
          </c:val>
          <c:extLst>
            <c:ext xmlns:c16="http://schemas.microsoft.com/office/drawing/2014/chart" uri="{C3380CC4-5D6E-409C-BE32-E72D297353CC}">
              <c16:uniqueId val="{00000000-ADB8-4F2E-A105-6992DADB738A}"/>
            </c:ext>
          </c:extLst>
        </c:ser>
        <c:dLbls>
          <c:dLblPos val="outEnd"/>
          <c:showLegendKey val="0"/>
          <c:showVal val="1"/>
          <c:showCatName val="0"/>
          <c:showSerName val="0"/>
          <c:showPercent val="0"/>
          <c:showBubbleSize val="0"/>
        </c:dLbls>
        <c:gapWidth val="219"/>
        <c:overlap val="-27"/>
        <c:axId val="326522895"/>
        <c:axId val="326523375"/>
      </c:barChart>
      <c:catAx>
        <c:axId val="32652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3375"/>
        <c:crosses val="autoZero"/>
        <c:auto val="1"/>
        <c:lblAlgn val="ctr"/>
        <c:lblOffset val="100"/>
        <c:noMultiLvlLbl val="0"/>
      </c:catAx>
      <c:valAx>
        <c:axId val="326523375"/>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2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[Sales_Revenue_Analysis_Dashboard.xlsx]Sum of Revenue !PivotTable3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0.13214048510471527"/>
              <c:y val="-5.513235563842291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2388170478567057"/>
              <c:y val="4.13492667288172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dLbl>
          <c:idx val="0"/>
          <c:layout>
            <c:manualLayout>
              <c:x val="-9.0846583509491777E-2"/>
              <c:y val="6.891544454802855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7030A0"/>
          </a:solidFill>
          <a:ln>
            <a:noFill/>
          </a:ln>
          <a:effectLst/>
        </c:spPr>
        <c:dLbl>
          <c:idx val="0"/>
          <c:layout>
            <c:manualLayout>
              <c:x val="-0.11286999769361096"/>
              <c:y val="-3.21605407890800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0070C0"/>
          </a:solidFill>
          <a:ln>
            <a:noFill/>
          </a:ln>
          <a:effectLst/>
        </c:spPr>
        <c:dLbl>
          <c:idx val="0"/>
          <c:layout>
            <c:manualLayout>
              <c:x val="0.13214048510471527"/>
              <c:y val="-5.513235563842291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2388170478567057"/>
              <c:y val="4.13492667288172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dLbl>
          <c:idx val="0"/>
          <c:layout>
            <c:manualLayout>
              <c:x val="-9.0846583509491777E-2"/>
              <c:y val="6.891544454802855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7030A0"/>
          </a:solidFill>
          <a:ln>
            <a:noFill/>
          </a:ln>
          <a:effectLst/>
        </c:spPr>
        <c:dLbl>
          <c:idx val="0"/>
          <c:layout>
            <c:manualLayout>
              <c:x val="-0.11286999769361096"/>
              <c:y val="-3.21605407890800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070C0"/>
          </a:solidFill>
          <a:ln>
            <a:noFill/>
          </a:ln>
          <a:effectLst/>
        </c:spPr>
        <c:dLbl>
          <c:idx val="0"/>
          <c:layout>
            <c:manualLayout>
              <c:x val="0.13214048510471527"/>
              <c:y val="-5.513235563842291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88170478567057"/>
              <c:y val="4.134926672881726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lumMod val="50000"/>
            </a:schemeClr>
          </a:solidFill>
          <a:ln>
            <a:noFill/>
          </a:ln>
          <a:effectLst/>
        </c:spPr>
        <c:dLbl>
          <c:idx val="0"/>
          <c:layout>
            <c:manualLayout>
              <c:x val="-9.0846583509491777E-2"/>
              <c:y val="6.891544454802855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7030A0"/>
          </a:solidFill>
          <a:ln>
            <a:noFill/>
          </a:ln>
          <a:effectLst/>
        </c:spPr>
        <c:dLbl>
          <c:idx val="0"/>
          <c:layout>
            <c:manualLayout>
              <c:x val="-0.11286999769361096"/>
              <c:y val="-3.21605407890800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'Sum of Revenue '!$B$4</c:f>
              <c:strCache>
                <c:ptCount val="1"/>
                <c:pt idx="0">
                  <c:v>Total</c:v>
                </c:pt>
              </c:strCache>
            </c:strRef>
          </c:tx>
          <c:dPt>
            <c:idx val="0"/>
            <c:bubble3D val="0"/>
            <c:spPr>
              <a:solidFill>
                <a:srgbClr val="0070C0"/>
              </a:solidFill>
              <a:ln>
                <a:noFill/>
              </a:ln>
              <a:effectLst/>
            </c:spPr>
            <c:extLst>
              <c:ext xmlns:c16="http://schemas.microsoft.com/office/drawing/2014/chart" uri="{C3380CC4-5D6E-409C-BE32-E72D297353CC}">
                <c16:uniqueId val="{00000001-3E0E-483E-B782-AB373778A3AB}"/>
              </c:ext>
            </c:extLst>
          </c:dPt>
          <c:dPt>
            <c:idx val="1"/>
            <c:bubble3D val="0"/>
            <c:spPr>
              <a:solidFill>
                <a:schemeClr val="accent2"/>
              </a:solidFill>
              <a:ln>
                <a:noFill/>
              </a:ln>
              <a:effectLst/>
            </c:spPr>
            <c:extLst>
              <c:ext xmlns:c16="http://schemas.microsoft.com/office/drawing/2014/chart" uri="{C3380CC4-5D6E-409C-BE32-E72D297353CC}">
                <c16:uniqueId val="{00000003-3E0E-483E-B782-AB373778A3AB}"/>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05-3E0E-483E-B782-AB373778A3AB}"/>
              </c:ext>
            </c:extLst>
          </c:dPt>
          <c:dPt>
            <c:idx val="3"/>
            <c:bubble3D val="0"/>
            <c:spPr>
              <a:solidFill>
                <a:srgbClr val="7030A0"/>
              </a:solidFill>
              <a:ln>
                <a:noFill/>
              </a:ln>
              <a:effectLst/>
            </c:spPr>
            <c:extLst>
              <c:ext xmlns:c16="http://schemas.microsoft.com/office/drawing/2014/chart" uri="{C3380CC4-5D6E-409C-BE32-E72D297353CC}">
                <c16:uniqueId val="{00000007-3E0E-483E-B782-AB373778A3AB}"/>
              </c:ext>
            </c:extLst>
          </c:dPt>
          <c:dLbls>
            <c:dLbl>
              <c:idx val="0"/>
              <c:layout>
                <c:manualLayout>
                  <c:x val="0.13214048510471527"/>
                  <c:y val="-5.513235563842291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0E-483E-B782-AB373778A3AB}"/>
                </c:ext>
              </c:extLst>
            </c:dLbl>
            <c:dLbl>
              <c:idx val="1"/>
              <c:layout>
                <c:manualLayout>
                  <c:x val="0.12388170478567057"/>
                  <c:y val="4.134926672881726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0E-483E-B782-AB373778A3AB}"/>
                </c:ext>
              </c:extLst>
            </c:dLbl>
            <c:dLbl>
              <c:idx val="2"/>
              <c:layout>
                <c:manualLayout>
                  <c:x val="-9.0846583509491777E-2"/>
                  <c:y val="6.89154445480285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0E-483E-B782-AB373778A3AB}"/>
                </c:ext>
              </c:extLst>
            </c:dLbl>
            <c:dLbl>
              <c:idx val="3"/>
              <c:layout>
                <c:manualLayout>
                  <c:x val="-0.11286999769361096"/>
                  <c:y val="-3.216054078908003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0E-483E-B782-AB373778A3A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'Sum of Revenue '!$A$5:$A$9</c:f>
              <c:strCache>
                <c:ptCount val="4"/>
                <c:pt idx="0">
                  <c:v>East</c:v>
                </c:pt>
                <c:pt idx="1">
                  <c:v>North</c:v>
                </c:pt>
                <c:pt idx="2">
                  <c:v>South</c:v>
                </c:pt>
                <c:pt idx="3">
                  <c:v>West</c:v>
                </c:pt>
              </c:strCache>
            </c:strRef>
          </c:cat>
          <c:val>
            <c:numRef>
              <c:f>'Sum of Revenue '!$B$5:$B$9</c:f>
              <c:numCache>
                <c:formatCode>\₹#,##0.00</c:formatCode>
                <c:ptCount val="4"/>
                <c:pt idx="0">
                  <c:v>1036209.2499999999</c:v>
                </c:pt>
                <c:pt idx="1">
                  <c:v>1936643.2999999998</c:v>
                </c:pt>
                <c:pt idx="2">
                  <c:v>1448658.1500000004</c:v>
                </c:pt>
                <c:pt idx="3">
                  <c:v>1150158.9999999995</c:v>
                </c:pt>
              </c:numCache>
            </c:numRef>
          </c:val>
          <c:extLst>
            <c:ext xmlns:c16="http://schemas.microsoft.com/office/drawing/2014/chart" uri="{C3380CC4-5D6E-409C-BE32-E72D297353CC}">
              <c16:uniqueId val="{00000008-3E0E-483E-B782-AB373778A3AB}"/>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[Sales_Revenue_Analysis_Dashboard.xlsx]Monthly Revenue!PivotTable1</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\₹#,##0.00</c:formatCode>
                <c:ptCount val="12"/>
                <c:pt idx="0">
                  <c:v>534241.55000000005</c:v>
                </c:pt>
                <c:pt idx="1">
                  <c:v>325580.45</c:v>
                </c:pt>
                <c:pt idx="2">
                  <c:v>341270.05</c:v>
                </c:pt>
                <c:pt idx="3">
                  <c:v>596800.30000000005</c:v>
                </c:pt>
                <c:pt idx="4">
                  <c:v>404613.64999999997</c:v>
                </c:pt>
                <c:pt idx="5">
                  <c:v>652867.75</c:v>
                </c:pt>
                <c:pt idx="6">
                  <c:v>387181.09999999992</c:v>
                </c:pt>
                <c:pt idx="7">
                  <c:v>346721.39999999997</c:v>
                </c:pt>
                <c:pt idx="8">
                  <c:v>333063.44999999995</c:v>
                </c:pt>
                <c:pt idx="9">
                  <c:v>636141.19999999995</c:v>
                </c:pt>
                <c:pt idx="10">
                  <c:v>536762.50000000012</c:v>
                </c:pt>
                <c:pt idx="11">
                  <c:v>476426.30000000005</c:v>
                </c:pt>
              </c:numCache>
            </c:numRef>
          </c:val>
          <c:smooth val="0"/>
          <c:extLst>
            <c:ext xmlns:c16="http://schemas.microsoft.com/office/drawing/2014/chart" uri="{C3380CC4-5D6E-409C-BE32-E72D297353CC}">
              <c16:uniqueId val="{00000000-2975-40DC-908F-95F0DAB3E22E}"/>
            </c:ext>
          </c:extLst>
        </c:ser>
        <c:dLbls>
          <c:showLegendKey val="0"/>
          <c:showVal val="0"/>
          <c:showCatName val="0"/>
          <c:showSerName val="0"/>
          <c:showPercent val="0"/>
          <c:showBubbleSize val="0"/>
        </c:dLbls>
        <c:marker val="1"/>
        <c:smooth val="0"/>
        <c:axId val="272415247"/>
        <c:axId val="272413807"/>
      </c:lineChart>
      <c:catAx>
        <c:axId val="27241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3807"/>
        <c:crosses val="autoZero"/>
        <c:auto val="1"/>
        <c:lblAlgn val="ctr"/>
        <c:lblOffset val="100"/>
        <c:noMultiLvlLbl val="0"/>
      </c:catAx>
      <c:valAx>
        <c:axId val="2724138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[Sales_Revenue_Analysis_Dashboard.xlsx]Top 5 Products by Revenue !PivotTable1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1.2430938550542777E-2"/>
              <c:y val="-0.1050000206692954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 by Revenue '!$B$3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2892-4F60-AE31-E685F2349345}"/>
              </c:ext>
            </c:extLst>
          </c:dPt>
          <c:dLbls>
            <c:dLbl>
              <c:idx val="0"/>
              <c:layout>
                <c:manualLayout>
                  <c:x val="-1.2430938550542777E-2"/>
                  <c:y val="-0.1050000206692954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92-4F60-AE31-E685F234934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 by Revenue '!$A$4:$A$9</c:f>
              <c:strCache>
                <c:ptCount val="5"/>
                <c:pt idx="0">
                  <c:v>4K Action Camera</c:v>
                </c:pt>
                <c:pt idx="1">
                  <c:v>Cricket Kit Set</c:v>
                </c:pt>
                <c:pt idx="2">
                  <c:v>Non-Stick Cookware Set</c:v>
                </c:pt>
                <c:pt idx="3">
                  <c:v>Adjustable Dumbbells</c:v>
                </c:pt>
                <c:pt idx="4">
                  <c:v>Men's Running Shoes</c:v>
                </c:pt>
              </c:strCache>
            </c:strRef>
          </c:cat>
          <c:val>
            <c:numRef>
              <c:f>'Top 5 Products by Revenue '!$B$4:$B$9</c:f>
              <c:numCache>
                <c:formatCode>\₹#,##0.00</c:formatCode>
                <c:ptCount val="5"/>
                <c:pt idx="0">
                  <c:v>846021.15</c:v>
                </c:pt>
                <c:pt idx="1">
                  <c:v>604665.59999999998</c:v>
                </c:pt>
                <c:pt idx="2">
                  <c:v>577335</c:v>
                </c:pt>
                <c:pt idx="3">
                  <c:v>544263.89999999991</c:v>
                </c:pt>
                <c:pt idx="4">
                  <c:v>362560.1</c:v>
                </c:pt>
              </c:numCache>
            </c:numRef>
          </c:val>
          <c:extLst>
            <c:ext xmlns:c16="http://schemas.microsoft.com/office/drawing/2014/chart" uri="{C3380CC4-5D6E-409C-BE32-E72D297353CC}">
              <c16:uniqueId val="{00000000-2892-4F60-AE31-E685F2349345}"/>
            </c:ext>
          </c:extLst>
        </c:ser>
        <c:dLbls>
          <c:dLblPos val="outEnd"/>
          <c:showLegendKey val="0"/>
          <c:showVal val="1"/>
          <c:showCatName val="0"/>
          <c:showSerName val="0"/>
          <c:showPercent val="0"/>
          <c:showBubbleSize val="0"/>
        </c:dLbls>
        <c:gapWidth val="182"/>
        <c:axId val="1827831120"/>
        <c:axId val="2074807200"/>
      </c:barChart>
      <c:catAx>
        <c:axId val="1827831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74807200"/>
        <c:crosses val="autoZero"/>
        <c:auto val="1"/>
        <c:lblAlgn val="ctr"/>
        <c:lblOffset val="100"/>
        <c:noMultiLvlLbl val="0"/>
      </c:catAx>
      <c:valAx>
        <c:axId val="2074807200"/>
        <c:scaling>
          <c:orientation val="minMax"/>
        </c:scaling>
        <c:delete val="1"/>
        <c:axPos val="t"/>
        <c:numFmt formatCode="\₹#,##0.00" sourceLinked="1"/>
        <c:majorTickMark val="none"/>
        <c:minorTickMark val="none"/>
        <c:tickLblPos val="nextTo"/>
        <c:crossAx val="182783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png"/><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68580</xdr:colOff>
      <xdr:row>1</xdr:row>
      <xdr:rowOff>175260</xdr:rowOff>
    </xdr:from>
    <xdr:to>
      <xdr:col>9</xdr:col>
      <xdr:colOff>373380</xdr:colOff>
      <xdr:row>16</xdr:row>
      <xdr:rowOff>175260</xdr:rowOff>
    </xdr:to>
    <xdr:graphicFrame macro="">
      <xdr:nvGraphicFramePr>
        <xdr:cNvPr id="2" name="Chart 1">
          <a:extLst>
            <a:ext uri="{FF2B5EF4-FFF2-40B4-BE49-F238E27FC236}">
              <a16:creationId xmlns:a16="http://schemas.microsoft.com/office/drawing/2014/main" id="{E9F85B7D-D53E-5AA9-E6F4-12663C527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388620</xdr:colOff>
      <xdr:row>16</xdr:row>
      <xdr:rowOff>0</xdr:rowOff>
    </xdr:from>
    <xdr:to>
      <xdr:col>12</xdr:col>
      <xdr:colOff>388620</xdr:colOff>
      <xdr:row>25</xdr:row>
      <xdr:rowOff>45720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4B0CACE-D918-0A6B-07EC-306BC1A552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37960" y="2956560"/>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68580</xdr:colOff>
      <xdr:row>17</xdr:row>
      <xdr:rowOff>53341</xdr:rowOff>
    </xdr:from>
    <xdr:to>
      <xdr:col>8</xdr:col>
      <xdr:colOff>68580</xdr:colOff>
      <xdr:row>25</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F02BB3F-C04D-273E-45AD-1B9637741C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79520" y="3192781"/>
              <a:ext cx="18288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388620</xdr:colOff>
      <xdr:row>2</xdr:row>
      <xdr:rowOff>91440</xdr:rowOff>
    </xdr:from>
    <xdr:to>
      <xdr:col>12</xdr:col>
      <xdr:colOff>388620</xdr:colOff>
      <xdr:row>15</xdr:row>
      <xdr:rowOff>165735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C1FD023-0B06-1BA4-0E91-E5B97D4C5A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5379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xdr:colOff>
      <xdr:row>17</xdr:row>
      <xdr:rowOff>53341</xdr:rowOff>
    </xdr:from>
    <xdr:to>
      <xdr:col>5</xdr:col>
      <xdr:colOff>60960</xdr:colOff>
      <xdr:row>24</xdr:row>
      <xdr:rowOff>99061</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E779A878-EA9B-AE46-44AF-D5CFD649881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43100" y="319278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2</xdr:row>
      <xdr:rowOff>34290</xdr:rowOff>
    </xdr:from>
    <xdr:to>
      <xdr:col>9</xdr:col>
      <xdr:colOff>129540</xdr:colOff>
      <xdr:row>14</xdr:row>
      <xdr:rowOff>15240</xdr:rowOff>
    </xdr:to>
    <xdr:graphicFrame macro="">
      <xdr:nvGraphicFramePr>
        <xdr:cNvPr id="2" name="Chart 1">
          <a:extLst>
            <a:ext uri="{FF2B5EF4-FFF2-40B4-BE49-F238E27FC236}">
              <a16:creationId xmlns:a16="http://schemas.microsoft.com/office/drawing/2014/main" id="{5EC6BE58-BBE0-6C4C-23A4-29FE508B1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11430</xdr:rowOff>
    </xdr:from>
    <xdr:to>
      <xdr:col>6</xdr:col>
      <xdr:colOff>236220</xdr:colOff>
      <xdr:row>13</xdr:row>
      <xdr:rowOff>99060</xdr:rowOff>
    </xdr:to>
    <xdr:graphicFrame macro="">
      <xdr:nvGraphicFramePr>
        <xdr:cNvPr id="2" name="Chart 1">
          <a:extLst>
            <a:ext uri="{FF2B5EF4-FFF2-40B4-BE49-F238E27FC236}">
              <a16:creationId xmlns:a16="http://schemas.microsoft.com/office/drawing/2014/main" id="{D0410015-81DA-8CF0-2470-9CB90445A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259080</xdr:colOff>
      <xdr:row>3</xdr:row>
      <xdr:rowOff>38100</xdr:rowOff>
    </xdr:from>
    <xdr:to>
      <xdr:col>9</xdr:col>
      <xdr:colOff>259080</xdr:colOff>
      <xdr:row>16</xdr:row>
      <xdr:rowOff>104775</xdr:rowOff>
    </xdr:to>
    <mc:AlternateContent xmlns:mc="http://schemas.openxmlformats.org/markup-compatibility/2006" xmlns:a14="http://schemas.microsoft.com/office/drawing/2010/main">
      <mc:Choice Requires="a14">
        <xdr:graphicFrame macro="">
          <xdr:nvGraphicFramePr>
            <xdr:cNvPr id="3" name="Revenue">
              <a:extLst>
                <a:ext uri="{FF2B5EF4-FFF2-40B4-BE49-F238E27FC236}">
                  <a16:creationId xmlns:a16="http://schemas.microsoft.com/office/drawing/2014/main" id="{5864802E-B52C-5A67-0297-13A5DD00D47E}"/>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457962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34963</xdr:colOff>
      <xdr:row>3</xdr:row>
      <xdr:rowOff>8293</xdr:rowOff>
    </xdr:from>
    <xdr:to>
      <xdr:col>9</xdr:col>
      <xdr:colOff>335280</xdr:colOff>
      <xdr:row>18</xdr:row>
      <xdr:rowOff>8292</xdr:rowOff>
    </xdr:to>
    <xdr:graphicFrame macro="">
      <xdr:nvGraphicFramePr>
        <xdr:cNvPr id="2" name="Chart 1">
          <a:extLst>
            <a:ext uri="{FF2B5EF4-FFF2-40B4-BE49-F238E27FC236}">
              <a16:creationId xmlns:a16="http://schemas.microsoft.com/office/drawing/2014/main" id="{E924F193-D3CD-5C7D-7A8A-A6B13AD0D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xdr:colOff>
      <xdr:row>2</xdr:row>
      <xdr:rowOff>19050</xdr:rowOff>
    </xdr:from>
    <xdr:to>
      <xdr:col>8</xdr:col>
      <xdr:colOff>586740</xdr:colOff>
      <xdr:row>14</xdr:row>
      <xdr:rowOff>7620</xdr:rowOff>
    </xdr:to>
    <xdr:graphicFrame macro="">
      <xdr:nvGraphicFramePr>
        <xdr:cNvPr id="2" name="Chart 1">
          <a:extLst>
            <a:ext uri="{FF2B5EF4-FFF2-40B4-BE49-F238E27FC236}">
              <a16:creationId xmlns:a16="http://schemas.microsoft.com/office/drawing/2014/main" id="{7458AB90-64AF-BE8B-3A66-C0C60E0D8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617220</xdr:colOff>
      <xdr:row>9</xdr:row>
      <xdr:rowOff>30481</xdr:rowOff>
    </xdr:from>
    <xdr:to>
      <xdr:col>1</xdr:col>
      <xdr:colOff>1013460</xdr:colOff>
      <xdr:row>17</xdr:row>
      <xdr:rowOff>7621</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6F2A1638-5ED9-005C-60EC-1BE50F5C59A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17220" y="169926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68578</xdr:colOff>
      <xdr:row>1</xdr:row>
      <xdr:rowOff>175260</xdr:rowOff>
    </xdr:from>
    <xdr:to>
      <xdr:col>25</xdr:col>
      <xdr:colOff>0</xdr:colOff>
      <xdr:row>63</xdr:row>
      <xdr:rowOff>118533</xdr:rowOff>
    </xdr:to>
    <xdr:sp macro="" textlink="">
      <xdr:nvSpPr>
        <xdr:cNvPr id="2" name="Rectangle 1">
          <a:extLst>
            <a:ext uri="{FF2B5EF4-FFF2-40B4-BE49-F238E27FC236}">
              <a16:creationId xmlns:a16="http://schemas.microsoft.com/office/drawing/2014/main" id="{AACE7EA8-FC3C-C7ED-D0E0-FB6CDFE723FD}"/>
            </a:ext>
          </a:extLst>
        </xdr:cNvPr>
        <xdr:cNvSpPr/>
      </xdr:nvSpPr>
      <xdr:spPr>
        <a:xfrm>
          <a:off x="678178" y="361527"/>
          <a:ext cx="14561822" cy="114918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287867</xdr:colOff>
      <xdr:row>10</xdr:row>
      <xdr:rowOff>112924</xdr:rowOff>
    </xdr:from>
    <xdr:to>
      <xdr:col>4</xdr:col>
      <xdr:colOff>78912</xdr:colOff>
      <xdr:row>35</xdr:row>
      <xdr:rowOff>45203</xdr:rowOff>
    </xdr:to>
    <xdr:sp macro="" textlink="">
      <xdr:nvSpPr>
        <xdr:cNvPr id="3" name="Rectangle: Rounded Corners 2">
          <a:extLst>
            <a:ext uri="{FF2B5EF4-FFF2-40B4-BE49-F238E27FC236}">
              <a16:creationId xmlns:a16="http://schemas.microsoft.com/office/drawing/2014/main" id="{CAE95824-63CF-4D71-6566-8851B516D0AE}"/>
            </a:ext>
          </a:extLst>
        </xdr:cNvPr>
        <xdr:cNvSpPr/>
      </xdr:nvSpPr>
      <xdr:spPr>
        <a:xfrm>
          <a:off x="897467" y="1975591"/>
          <a:ext cx="1619845" cy="4588945"/>
        </a:xfrm>
        <a:prstGeom prst="roundRect">
          <a:avLst>
            <a:gd name="adj" fmla="val 5357"/>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4</xdr:row>
      <xdr:rowOff>152400</xdr:rowOff>
    </xdr:from>
    <xdr:to>
      <xdr:col>24</xdr:col>
      <xdr:colOff>182511</xdr:colOff>
      <xdr:row>9</xdr:row>
      <xdr:rowOff>140676</xdr:rowOff>
    </xdr:to>
    <xdr:sp macro="" textlink="">
      <xdr:nvSpPr>
        <xdr:cNvPr id="4" name="Rectangle: Rounded Corners 3">
          <a:extLst>
            <a:ext uri="{FF2B5EF4-FFF2-40B4-BE49-F238E27FC236}">
              <a16:creationId xmlns:a16="http://schemas.microsoft.com/office/drawing/2014/main" id="{C2F04141-9565-2BD2-AB78-8989D0D84717}"/>
            </a:ext>
          </a:extLst>
        </xdr:cNvPr>
        <xdr:cNvSpPr/>
      </xdr:nvSpPr>
      <xdr:spPr>
        <a:xfrm>
          <a:off x="914400" y="897467"/>
          <a:ext cx="13898511" cy="919609"/>
        </a:xfrm>
        <a:prstGeom prst="round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latin typeface="Segoe UI Semibold" panose="020B0702040204020203" pitchFamily="34" charset="0"/>
              <a:ea typeface="Segoe UI Black" panose="020B0A02040204020203" pitchFamily="34" charset="0"/>
              <a:cs typeface="Segoe UI Semibold" panose="020B0702040204020203" pitchFamily="34" charset="0"/>
            </a:rPr>
            <a:t>               </a:t>
          </a:r>
          <a:r>
            <a:rPr lang="en-IN" sz="2000" baseline="0">
              <a:solidFill>
                <a:schemeClr val="lt1"/>
              </a:solidFill>
              <a:effectLst/>
              <a:latin typeface="Segoe UI Semibold" panose="020B0702040204020203" pitchFamily="34" charset="0"/>
              <a:ea typeface="Segoe UI Black" panose="020B0A02040204020203" pitchFamily="34" charset="0"/>
              <a:cs typeface="Segoe UI Semibold" panose="020B0702040204020203" pitchFamily="34" charset="0"/>
            </a:rPr>
            <a:t>                    </a:t>
          </a:r>
        </a:p>
        <a:p>
          <a:pPr algn="l"/>
          <a:endParaRPr lang="en-IN" sz="2000">
            <a:latin typeface="Segoe UI Black" panose="020B0A02040204020203" pitchFamily="34" charset="0"/>
            <a:ea typeface="Segoe UI Black" panose="020B0A02040204020203" pitchFamily="34" charset="0"/>
          </a:endParaRPr>
        </a:p>
      </xdr:txBody>
    </xdr:sp>
    <xdr:clientData/>
  </xdr:twoCellAnchor>
  <xdr:twoCellAnchor>
    <xdr:from>
      <xdr:col>1</xdr:col>
      <xdr:colOff>270934</xdr:colOff>
      <xdr:row>5</xdr:row>
      <xdr:rowOff>123566</xdr:rowOff>
    </xdr:from>
    <xdr:to>
      <xdr:col>15</xdr:col>
      <xdr:colOff>386862</xdr:colOff>
      <xdr:row>10</xdr:row>
      <xdr:rowOff>58614</xdr:rowOff>
    </xdr:to>
    <xdr:sp macro="" textlink="">
      <xdr:nvSpPr>
        <xdr:cNvPr id="7" name="TextBox 6">
          <a:extLst>
            <a:ext uri="{FF2B5EF4-FFF2-40B4-BE49-F238E27FC236}">
              <a16:creationId xmlns:a16="http://schemas.microsoft.com/office/drawing/2014/main" id="{7B94611D-889C-BCE6-F447-50229BB3A7C0}"/>
            </a:ext>
          </a:extLst>
        </xdr:cNvPr>
        <xdr:cNvSpPr txBox="1"/>
      </xdr:nvSpPr>
      <xdr:spPr>
        <a:xfrm>
          <a:off x="880534" y="1054899"/>
          <a:ext cx="8650328" cy="866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500" baseline="0">
              <a:solidFill>
                <a:schemeClr val="bg1"/>
              </a:solidFill>
              <a:effectLst/>
              <a:latin typeface="Segoe UI Semibold" panose="020B0702040204020203" pitchFamily="34" charset="0"/>
              <a:ea typeface="+mn-ea"/>
              <a:cs typeface="Segoe UI Semibold" panose="020B0702040204020203" pitchFamily="34" charset="0"/>
            </a:rPr>
            <a:t>                    </a:t>
          </a:r>
          <a:r>
            <a:rPr lang="en-IN" sz="2500">
              <a:solidFill>
                <a:schemeClr val="bg1"/>
              </a:solidFill>
              <a:effectLst/>
              <a:latin typeface="Segoe UI Semibold" panose="020B0702040204020203" pitchFamily="34" charset="0"/>
              <a:ea typeface="+mn-ea"/>
              <a:cs typeface="Segoe UI Semibold" panose="020B0702040204020203" pitchFamily="34" charset="0"/>
            </a:rPr>
            <a:t>SALES &amp; REVENUE ANALYSIS</a:t>
          </a:r>
          <a:r>
            <a:rPr lang="en-IN" sz="2500" baseline="0">
              <a:solidFill>
                <a:schemeClr val="bg1"/>
              </a:solidFill>
              <a:effectLst/>
              <a:latin typeface="Segoe UI Semibold" panose="020B0702040204020203" pitchFamily="34" charset="0"/>
              <a:ea typeface="+mn-ea"/>
              <a:cs typeface="Segoe UI Semibold" panose="020B0702040204020203" pitchFamily="34" charset="0"/>
            </a:rPr>
            <a:t> DASHBOARD </a:t>
          </a:r>
          <a:endParaRPr lang="en-IN" sz="2500">
            <a:solidFill>
              <a:schemeClr val="bg1"/>
            </a:solidFill>
            <a:effectLst/>
            <a:latin typeface="Segoe UI Semibold" panose="020B0702040204020203" pitchFamily="34" charset="0"/>
            <a:cs typeface="Segoe UI Semibold" panose="020B0702040204020203" pitchFamily="34" charset="0"/>
          </a:endParaRPr>
        </a:p>
        <a:p>
          <a:endParaRPr lang="en-IN" sz="1100"/>
        </a:p>
      </xdr:txBody>
    </xdr:sp>
    <xdr:clientData/>
  </xdr:twoCellAnchor>
  <xdr:twoCellAnchor>
    <xdr:from>
      <xdr:col>18</xdr:col>
      <xdr:colOff>550985</xdr:colOff>
      <xdr:row>5</xdr:row>
      <xdr:rowOff>105508</xdr:rowOff>
    </xdr:from>
    <xdr:to>
      <xdr:col>24</xdr:col>
      <xdr:colOff>164123</xdr:colOff>
      <xdr:row>8</xdr:row>
      <xdr:rowOff>11723</xdr:rowOff>
    </xdr:to>
    <xdr:sp macro="" textlink="">
      <xdr:nvSpPr>
        <xdr:cNvPr id="8" name="Rectangle: Rounded Corners 7">
          <a:extLst>
            <a:ext uri="{FF2B5EF4-FFF2-40B4-BE49-F238E27FC236}">
              <a16:creationId xmlns:a16="http://schemas.microsoft.com/office/drawing/2014/main" id="{CBB7BE8C-2F82-E197-9111-E3635656EC11}"/>
            </a:ext>
          </a:extLst>
        </xdr:cNvPr>
        <xdr:cNvSpPr/>
      </xdr:nvSpPr>
      <xdr:spPr>
        <a:xfrm>
          <a:off x="11523785" y="1043354"/>
          <a:ext cx="3270738" cy="4689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445476</xdr:colOff>
      <xdr:row>5</xdr:row>
      <xdr:rowOff>93785</xdr:rowOff>
    </xdr:from>
    <xdr:to>
      <xdr:col>22</xdr:col>
      <xdr:colOff>375137</xdr:colOff>
      <xdr:row>9</xdr:row>
      <xdr:rowOff>0</xdr:rowOff>
    </xdr:to>
    <xdr:sp macro="" textlink="">
      <xdr:nvSpPr>
        <xdr:cNvPr id="9" name="Rectangle: Rounded Corners 8">
          <a:extLst>
            <a:ext uri="{FF2B5EF4-FFF2-40B4-BE49-F238E27FC236}">
              <a16:creationId xmlns:a16="http://schemas.microsoft.com/office/drawing/2014/main" id="{D4B59278-AF99-BA4D-3E6C-C7DA2689BA9D}"/>
            </a:ext>
          </a:extLst>
        </xdr:cNvPr>
        <xdr:cNvSpPr/>
      </xdr:nvSpPr>
      <xdr:spPr>
        <a:xfrm>
          <a:off x="10199076" y="1031631"/>
          <a:ext cx="3587261" cy="656492"/>
        </a:xfrm>
        <a:prstGeom prst="roundRect">
          <a:avLst/>
        </a:prstGeom>
        <a:solidFill>
          <a:srgbClr val="0B1F3A"/>
        </a:solidFill>
        <a:effectLst>
          <a:outerShdw blurRad="50800" dist="38100" dir="2700000" algn="tl"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607539</xdr:colOff>
      <xdr:row>6</xdr:row>
      <xdr:rowOff>10298</xdr:rowOff>
    </xdr:from>
    <xdr:to>
      <xdr:col>17</xdr:col>
      <xdr:colOff>401594</xdr:colOff>
      <xdr:row>8</xdr:row>
      <xdr:rowOff>72082</xdr:rowOff>
    </xdr:to>
    <xdr:pic>
      <xdr:nvPicPr>
        <xdr:cNvPr id="12" name="Graphic 11" descr="Daily calendar with solid fill">
          <a:extLst>
            <a:ext uri="{FF2B5EF4-FFF2-40B4-BE49-F238E27FC236}">
              <a16:creationId xmlns:a16="http://schemas.microsoft.com/office/drawing/2014/main" id="{30B65327-3F97-B077-A698-C9A9B3EAA2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28188" y="1122406"/>
          <a:ext cx="401595" cy="432487"/>
        </a:xfrm>
        <a:prstGeom prst="rect">
          <a:avLst/>
        </a:prstGeom>
      </xdr:spPr>
    </xdr:pic>
    <xdr:clientData/>
  </xdr:twoCellAnchor>
  <xdr:twoCellAnchor editAs="oneCell">
    <xdr:from>
      <xdr:col>2</xdr:col>
      <xdr:colOff>164758</xdr:colOff>
      <xdr:row>5</xdr:row>
      <xdr:rowOff>72081</xdr:rowOff>
    </xdr:from>
    <xdr:to>
      <xdr:col>3</xdr:col>
      <xdr:colOff>236838</xdr:colOff>
      <xdr:row>8</xdr:row>
      <xdr:rowOff>144163</xdr:rowOff>
    </xdr:to>
    <xdr:pic>
      <xdr:nvPicPr>
        <xdr:cNvPr id="14" name="Graphic 13" descr="Shopping cart with solid fill">
          <a:extLst>
            <a:ext uri="{FF2B5EF4-FFF2-40B4-BE49-F238E27FC236}">
              <a16:creationId xmlns:a16="http://schemas.microsoft.com/office/drawing/2014/main" id="{1C39B2B5-461F-B67E-535E-816CFFF324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79839" y="998838"/>
          <a:ext cx="679621" cy="628136"/>
        </a:xfrm>
        <a:prstGeom prst="rect">
          <a:avLst/>
        </a:prstGeom>
      </xdr:spPr>
    </xdr:pic>
    <xdr:clientData/>
  </xdr:twoCellAnchor>
  <xdr:twoCellAnchor>
    <xdr:from>
      <xdr:col>17</xdr:col>
      <xdr:colOff>460538</xdr:colOff>
      <xdr:row>6</xdr:row>
      <xdr:rowOff>3550</xdr:rowOff>
    </xdr:from>
    <xdr:to>
      <xdr:col>24</xdr:col>
      <xdr:colOff>182511</xdr:colOff>
      <xdr:row>10</xdr:row>
      <xdr:rowOff>156590</xdr:rowOff>
    </xdr:to>
    <xdr:sp macro="" textlink="">
      <xdr:nvSpPr>
        <xdr:cNvPr id="17" name="TextBox 16">
          <a:extLst>
            <a:ext uri="{FF2B5EF4-FFF2-40B4-BE49-F238E27FC236}">
              <a16:creationId xmlns:a16="http://schemas.microsoft.com/office/drawing/2014/main" id="{F9030A43-1A82-3626-C385-8EB6B6AB99DB}"/>
            </a:ext>
          </a:extLst>
        </xdr:cNvPr>
        <xdr:cNvSpPr txBox="1"/>
      </xdr:nvSpPr>
      <xdr:spPr>
        <a:xfrm>
          <a:off x="10823738" y="1121150"/>
          <a:ext cx="3989173" cy="89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85000"/>
                </a:schemeClr>
              </a:solidFill>
              <a:latin typeface="Segoe UI Semibold" panose="020B0702040204020203" pitchFamily="34" charset="0"/>
              <a:cs typeface="Segoe UI Semibold" panose="020B0702040204020203" pitchFamily="34" charset="0"/>
            </a:rPr>
            <a:t>1 Jan 2024 - 31 Dec</a:t>
          </a:r>
          <a:r>
            <a:rPr lang="en-IN" sz="1800" baseline="0">
              <a:solidFill>
                <a:schemeClr val="bg1">
                  <a:lumMod val="85000"/>
                </a:schemeClr>
              </a:solidFill>
              <a:latin typeface="Segoe UI Semibold" panose="020B0702040204020203" pitchFamily="34" charset="0"/>
              <a:cs typeface="Segoe UI Semibold" panose="020B0702040204020203" pitchFamily="34" charset="0"/>
            </a:rPr>
            <a:t> 2024</a:t>
          </a:r>
          <a:endParaRPr lang="en-IN" sz="1800">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367862</xdr:colOff>
      <xdr:row>13</xdr:row>
      <xdr:rowOff>78829</xdr:rowOff>
    </xdr:from>
    <xdr:to>
      <xdr:col>4</xdr:col>
      <xdr:colOff>84668</xdr:colOff>
      <xdr:row>17</xdr:row>
      <xdr:rowOff>78828</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E7B8BD72-E1E5-4BF2-BD0B-71F2A9A5317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4878" y="2429405"/>
              <a:ext cx="1584570" cy="723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341587</xdr:colOff>
      <xdr:row>10</xdr:row>
      <xdr:rowOff>91965</xdr:rowOff>
    </xdr:from>
    <xdr:to>
      <xdr:col>4</xdr:col>
      <xdr:colOff>144519</xdr:colOff>
      <xdr:row>13</xdr:row>
      <xdr:rowOff>39415</xdr:rowOff>
    </xdr:to>
    <xdr:sp macro="" textlink="">
      <xdr:nvSpPr>
        <xdr:cNvPr id="19" name="Rectangle: Rounded Corners 18">
          <a:extLst>
            <a:ext uri="{FF2B5EF4-FFF2-40B4-BE49-F238E27FC236}">
              <a16:creationId xmlns:a16="http://schemas.microsoft.com/office/drawing/2014/main" id="{DD80E3ED-26B4-71B1-B03F-B3065A126B3D}"/>
            </a:ext>
          </a:extLst>
        </xdr:cNvPr>
        <xdr:cNvSpPr/>
      </xdr:nvSpPr>
      <xdr:spPr>
        <a:xfrm>
          <a:off x="945932" y="1931275"/>
          <a:ext cx="1615966" cy="499243"/>
        </a:xfrm>
        <a:prstGeom prst="round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Segoe UI Semibold" panose="020B0702040204020203" pitchFamily="34" charset="0"/>
              <a:cs typeface="Segoe UI Semibold" panose="020B0702040204020203" pitchFamily="34" charset="0"/>
            </a:rPr>
            <a:t>     Filters</a:t>
          </a:r>
        </a:p>
      </xdr:txBody>
    </xdr:sp>
    <xdr:clientData/>
  </xdr:twoCellAnchor>
  <xdr:twoCellAnchor editAs="oneCell">
    <xdr:from>
      <xdr:col>1</xdr:col>
      <xdr:colOff>459827</xdr:colOff>
      <xdr:row>10</xdr:row>
      <xdr:rowOff>144518</xdr:rowOff>
    </xdr:from>
    <xdr:to>
      <xdr:col>2</xdr:col>
      <xdr:colOff>315310</xdr:colOff>
      <xdr:row>13</xdr:row>
      <xdr:rowOff>1</xdr:rowOff>
    </xdr:to>
    <xdr:pic>
      <xdr:nvPicPr>
        <xdr:cNvPr id="20" name="Picture 19">
          <a:extLst>
            <a:ext uri="{FF2B5EF4-FFF2-40B4-BE49-F238E27FC236}">
              <a16:creationId xmlns:a16="http://schemas.microsoft.com/office/drawing/2014/main" id="{ECDB1192-88F2-B790-B946-08182420FF35}"/>
            </a:ext>
          </a:extLst>
        </xdr:cNvPr>
        <xdr:cNvPicPr>
          <a:picLocks noChangeAspect="1"/>
        </xdr:cNvPicPr>
      </xdr:nvPicPr>
      <xdr:blipFill>
        <a:blip xmlns:r="http://schemas.openxmlformats.org/officeDocument/2006/relationships" r:embed="rId5">
          <a:duotone>
            <a:prstClr val="black"/>
            <a:srgbClr val="0B1F3A">
              <a:tint val="45000"/>
              <a:satMod val="400000"/>
            </a:srgbClr>
          </a:duotone>
          <a:alphaModFix amt="89000"/>
        </a:blip>
        <a:stretch>
          <a:fillRect/>
        </a:stretch>
      </xdr:blipFill>
      <xdr:spPr>
        <a:xfrm>
          <a:off x="1064172" y="1983828"/>
          <a:ext cx="459828" cy="407276"/>
        </a:xfrm>
        <a:prstGeom prst="rect">
          <a:avLst/>
        </a:prstGeom>
      </xdr:spPr>
    </xdr:pic>
    <xdr:clientData/>
  </xdr:twoCellAnchor>
  <xdr:twoCellAnchor>
    <xdr:from>
      <xdr:col>4</xdr:col>
      <xdr:colOff>315310</xdr:colOff>
      <xdr:row>10</xdr:row>
      <xdr:rowOff>164582</xdr:rowOff>
    </xdr:from>
    <xdr:to>
      <xdr:col>8</xdr:col>
      <xdr:colOff>551793</xdr:colOff>
      <xdr:row>15</xdr:row>
      <xdr:rowOff>137620</xdr:rowOff>
    </xdr:to>
    <xdr:sp macro="" textlink="">
      <xdr:nvSpPr>
        <xdr:cNvPr id="22" name="Rectangle: Rounded Corners 21">
          <a:extLst>
            <a:ext uri="{FF2B5EF4-FFF2-40B4-BE49-F238E27FC236}">
              <a16:creationId xmlns:a16="http://schemas.microsoft.com/office/drawing/2014/main" id="{BC8782AD-9D69-4DDB-BEDA-B436C70711DE}"/>
            </a:ext>
          </a:extLst>
        </xdr:cNvPr>
        <xdr:cNvSpPr/>
      </xdr:nvSpPr>
      <xdr:spPr>
        <a:xfrm>
          <a:off x="2732689" y="2003892"/>
          <a:ext cx="2653863" cy="892694"/>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latin typeface="Segoe UI Black" panose="020B0A02040204020203" pitchFamily="34" charset="0"/>
              <a:ea typeface="Segoe UI Black" panose="020B0A02040204020203" pitchFamily="34" charset="0"/>
            </a:rPr>
            <a:t>                Total Revenue  </a:t>
          </a:r>
        </a:p>
        <a:p>
          <a:pPr algn="l"/>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9</xdr:col>
      <xdr:colOff>78827</xdr:colOff>
      <xdr:row>10</xdr:row>
      <xdr:rowOff>157655</xdr:rowOff>
    </xdr:from>
    <xdr:to>
      <xdr:col>13</xdr:col>
      <xdr:colOff>315310</xdr:colOff>
      <xdr:row>15</xdr:row>
      <xdr:rowOff>144548</xdr:rowOff>
    </xdr:to>
    <xdr:sp macro="" textlink="">
      <xdr:nvSpPr>
        <xdr:cNvPr id="23" name="Rectangle: Rounded Corners 22">
          <a:extLst>
            <a:ext uri="{FF2B5EF4-FFF2-40B4-BE49-F238E27FC236}">
              <a16:creationId xmlns:a16="http://schemas.microsoft.com/office/drawing/2014/main" id="{8E712779-80B7-4136-AE2C-1DA5779EF6B8}"/>
            </a:ext>
          </a:extLst>
        </xdr:cNvPr>
        <xdr:cNvSpPr/>
      </xdr:nvSpPr>
      <xdr:spPr>
        <a:xfrm>
          <a:off x="5517930" y="1996965"/>
          <a:ext cx="2653863" cy="906549"/>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Total Orders</a:t>
          </a:r>
        </a:p>
      </xdr:txBody>
    </xdr:sp>
    <xdr:clientData/>
  </xdr:twoCellAnchor>
  <xdr:twoCellAnchor>
    <xdr:from>
      <xdr:col>13</xdr:col>
      <xdr:colOff>380999</xdr:colOff>
      <xdr:row>10</xdr:row>
      <xdr:rowOff>157655</xdr:rowOff>
    </xdr:from>
    <xdr:to>
      <xdr:col>18</xdr:col>
      <xdr:colOff>302172</xdr:colOff>
      <xdr:row>15</xdr:row>
      <xdr:rowOff>144548</xdr:rowOff>
    </xdr:to>
    <xdr:sp macro="" textlink="">
      <xdr:nvSpPr>
        <xdr:cNvPr id="24" name="Rectangle: Rounded Corners 23">
          <a:extLst>
            <a:ext uri="{FF2B5EF4-FFF2-40B4-BE49-F238E27FC236}">
              <a16:creationId xmlns:a16="http://schemas.microsoft.com/office/drawing/2014/main" id="{4C629595-2924-4569-8D4B-3EB58F598712}"/>
            </a:ext>
          </a:extLst>
        </xdr:cNvPr>
        <xdr:cNvSpPr/>
      </xdr:nvSpPr>
      <xdr:spPr>
        <a:xfrm>
          <a:off x="8237482" y="1996965"/>
          <a:ext cx="2942897" cy="906549"/>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Total Units Sold</a:t>
          </a:r>
        </a:p>
      </xdr:txBody>
    </xdr:sp>
    <xdr:clientData/>
  </xdr:twoCellAnchor>
  <xdr:twoCellAnchor>
    <xdr:from>
      <xdr:col>19</xdr:col>
      <xdr:colOff>106310</xdr:colOff>
      <xdr:row>10</xdr:row>
      <xdr:rowOff>157655</xdr:rowOff>
    </xdr:from>
    <xdr:to>
      <xdr:col>24</xdr:col>
      <xdr:colOff>182511</xdr:colOff>
      <xdr:row>15</xdr:row>
      <xdr:rowOff>144548</xdr:rowOff>
    </xdr:to>
    <xdr:sp macro="" textlink="">
      <xdr:nvSpPr>
        <xdr:cNvPr id="25" name="Rectangle: Rounded Corners 24">
          <a:extLst>
            <a:ext uri="{FF2B5EF4-FFF2-40B4-BE49-F238E27FC236}">
              <a16:creationId xmlns:a16="http://schemas.microsoft.com/office/drawing/2014/main" id="{E036285B-2096-4CA6-8649-24A50A9718F8}"/>
            </a:ext>
          </a:extLst>
        </xdr:cNvPr>
        <xdr:cNvSpPr/>
      </xdr:nvSpPr>
      <xdr:spPr>
        <a:xfrm>
          <a:off x="11688710" y="2020322"/>
          <a:ext cx="3124201" cy="918226"/>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Avg</a:t>
          </a:r>
          <a:r>
            <a:rPr lang="en-IN" sz="1600" baseline="0">
              <a:latin typeface="Segoe UI Black" panose="020B0A02040204020203" pitchFamily="34" charset="0"/>
              <a:ea typeface="Segoe UI Black" panose="020B0A02040204020203" pitchFamily="34" charset="0"/>
            </a:rPr>
            <a:t> Order Value</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6</xdr:col>
      <xdr:colOff>382782</xdr:colOff>
      <xdr:row>13</xdr:row>
      <xdr:rowOff>38969</xdr:rowOff>
    </xdr:from>
    <xdr:to>
      <xdr:col>8</xdr:col>
      <xdr:colOff>338668</xdr:colOff>
      <xdr:row>15</xdr:row>
      <xdr:rowOff>84667</xdr:rowOff>
    </xdr:to>
    <xdr:sp macro="" textlink="'Monthly Revenue'!B18">
      <xdr:nvSpPr>
        <xdr:cNvPr id="26" name="TextBox 25">
          <a:extLst>
            <a:ext uri="{FF2B5EF4-FFF2-40B4-BE49-F238E27FC236}">
              <a16:creationId xmlns:a16="http://schemas.microsoft.com/office/drawing/2014/main" id="{FDA5A70A-C3AB-1F74-AB6A-C28C380CAC21}"/>
            </a:ext>
          </a:extLst>
        </xdr:cNvPr>
        <xdr:cNvSpPr txBox="1"/>
      </xdr:nvSpPr>
      <xdr:spPr>
        <a:xfrm>
          <a:off x="4040382" y="2460436"/>
          <a:ext cx="1175086" cy="4182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78506-F851-40E9-867D-6C1D36C2CA3B}" type="TxLink">
            <a:rPr lang="en-US" sz="1400" b="0" i="0" u="none" strike="noStrike">
              <a:solidFill>
                <a:schemeClr val="accent6">
                  <a:lumMod val="50000"/>
                </a:schemeClr>
              </a:solidFill>
              <a:latin typeface="Segoe UI Semibold" panose="020B0702040204020203" pitchFamily="34" charset="0"/>
              <a:ea typeface="Calibri"/>
              <a:cs typeface="Segoe UI Semibold" panose="020B0702040204020203" pitchFamily="34" charset="0"/>
            </a:rPr>
            <a:pPr/>
            <a:t>₹5.57M</a:t>
          </a:fld>
          <a:endParaRPr lang="en-IN" sz="14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581185</xdr:colOff>
      <xdr:row>11</xdr:row>
      <xdr:rowOff>90407</xdr:rowOff>
    </xdr:from>
    <xdr:to>
      <xdr:col>6</xdr:col>
      <xdr:colOff>38744</xdr:colOff>
      <xdr:row>15</xdr:row>
      <xdr:rowOff>25831</xdr:rowOff>
    </xdr:to>
    <xdr:pic>
      <xdr:nvPicPr>
        <xdr:cNvPr id="28" name="Graphic 27" descr="Dollar with solid fill">
          <a:extLst>
            <a:ext uri="{FF2B5EF4-FFF2-40B4-BE49-F238E27FC236}">
              <a16:creationId xmlns:a16="http://schemas.microsoft.com/office/drawing/2014/main" id="{437521E7-6719-221F-E521-51044E0BF7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09253" y="2079356"/>
          <a:ext cx="671593" cy="658678"/>
        </a:xfrm>
        <a:prstGeom prst="rect">
          <a:avLst/>
        </a:prstGeom>
      </xdr:spPr>
    </xdr:pic>
    <xdr:clientData/>
  </xdr:twoCellAnchor>
  <xdr:twoCellAnchor>
    <xdr:from>
      <xdr:col>16</xdr:col>
      <xdr:colOff>38747</xdr:colOff>
      <xdr:row>13</xdr:row>
      <xdr:rowOff>38745</xdr:rowOff>
    </xdr:from>
    <xdr:to>
      <xdr:col>19</xdr:col>
      <xdr:colOff>452034</xdr:colOff>
      <xdr:row>17</xdr:row>
      <xdr:rowOff>25829</xdr:rowOff>
    </xdr:to>
    <xdr:sp macro="" textlink="'Sum of Unit Sold'!A7">
      <xdr:nvSpPr>
        <xdr:cNvPr id="29" name="TextBox 28">
          <a:extLst>
            <a:ext uri="{FF2B5EF4-FFF2-40B4-BE49-F238E27FC236}">
              <a16:creationId xmlns:a16="http://schemas.microsoft.com/office/drawing/2014/main" id="{16A7E8AA-E910-0834-438D-3BF031F4303D}"/>
            </a:ext>
          </a:extLst>
        </xdr:cNvPr>
        <xdr:cNvSpPr txBox="1"/>
      </xdr:nvSpPr>
      <xdr:spPr>
        <a:xfrm>
          <a:off x="9751018" y="2389321"/>
          <a:ext cx="2234338" cy="710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BDB149-D3E5-49C2-A6CD-4D808D1EFB52}" type="TxLink">
            <a:rPr lang="en-US" sz="1400" b="0" i="0" u="none" strike="noStrike">
              <a:solidFill>
                <a:srgbClr val="7030A0"/>
              </a:solidFill>
              <a:latin typeface="Segoe UI Semibold" panose="020B0702040204020203" pitchFamily="34" charset="0"/>
              <a:ea typeface="Calibri"/>
              <a:cs typeface="Segoe UI Semibold" panose="020B0702040204020203" pitchFamily="34" charset="0"/>
            </a:rPr>
            <a:pPr/>
            <a:t>2823</a:t>
          </a:fld>
          <a:endParaRPr lang="en-IN" sz="1400">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9</xdr:col>
      <xdr:colOff>232474</xdr:colOff>
      <xdr:row>11</xdr:row>
      <xdr:rowOff>12915</xdr:rowOff>
    </xdr:from>
    <xdr:to>
      <xdr:col>10</xdr:col>
      <xdr:colOff>413289</xdr:colOff>
      <xdr:row>14</xdr:row>
      <xdr:rowOff>142068</xdr:rowOff>
    </xdr:to>
    <xdr:pic>
      <xdr:nvPicPr>
        <xdr:cNvPr id="31" name="Graphic 30" descr="Shopping cart with solid fill">
          <a:extLst>
            <a:ext uri="{FF2B5EF4-FFF2-40B4-BE49-F238E27FC236}">
              <a16:creationId xmlns:a16="http://schemas.microsoft.com/office/drawing/2014/main" id="{8A0F8608-7FAC-A780-421A-47FD0A884E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95627" y="2001864"/>
          <a:ext cx="787831" cy="671594"/>
        </a:xfrm>
        <a:prstGeom prst="rect">
          <a:avLst/>
        </a:prstGeom>
      </xdr:spPr>
    </xdr:pic>
    <xdr:clientData/>
  </xdr:twoCellAnchor>
  <xdr:twoCellAnchor>
    <xdr:from>
      <xdr:col>11</xdr:col>
      <xdr:colOff>304800</xdr:colOff>
      <xdr:row>13</xdr:row>
      <xdr:rowOff>51661</xdr:rowOff>
    </xdr:from>
    <xdr:to>
      <xdr:col>12</xdr:col>
      <xdr:colOff>389467</xdr:colOff>
      <xdr:row>15</xdr:row>
      <xdr:rowOff>84667</xdr:rowOff>
    </xdr:to>
    <xdr:sp macro="" textlink="'order ID'!A6">
      <xdr:nvSpPr>
        <xdr:cNvPr id="32" name="TextBox 31">
          <a:extLst>
            <a:ext uri="{FF2B5EF4-FFF2-40B4-BE49-F238E27FC236}">
              <a16:creationId xmlns:a16="http://schemas.microsoft.com/office/drawing/2014/main" id="{EFEF5D8F-0811-92B6-D568-4F3C117EFEA8}"/>
            </a:ext>
          </a:extLst>
        </xdr:cNvPr>
        <xdr:cNvSpPr txBox="1"/>
      </xdr:nvSpPr>
      <xdr:spPr>
        <a:xfrm>
          <a:off x="7010400" y="2473128"/>
          <a:ext cx="694267" cy="40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4D1CE7-A5F4-4E2A-B402-34FB0700582F}" type="TxLink">
            <a:rPr lang="en-US" sz="1400" b="0" i="0" u="none" strike="noStrike">
              <a:solidFill>
                <a:schemeClr val="accent2">
                  <a:lumMod val="75000"/>
                </a:schemeClr>
              </a:solidFill>
              <a:latin typeface="Segoe UI Semibold" panose="020B0702040204020203" pitchFamily="34" charset="0"/>
              <a:ea typeface="Calibri"/>
              <a:cs typeface="Segoe UI Semibold" panose="020B0702040204020203" pitchFamily="34" charset="0"/>
            </a:rPr>
            <a:pPr/>
            <a:t>650</a:t>
          </a:fld>
          <a:endParaRPr lang="en-IN" sz="1400">
            <a:solidFill>
              <a:schemeClr val="accent2">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581187</xdr:colOff>
      <xdr:row>11</xdr:row>
      <xdr:rowOff>12915</xdr:rowOff>
    </xdr:from>
    <xdr:to>
      <xdr:col>15</xdr:col>
      <xdr:colOff>154984</xdr:colOff>
      <xdr:row>15</xdr:row>
      <xdr:rowOff>0</xdr:rowOff>
    </xdr:to>
    <xdr:pic>
      <xdr:nvPicPr>
        <xdr:cNvPr id="34" name="Graphic 33" descr="Piggy Bank with solid fill">
          <a:extLst>
            <a:ext uri="{FF2B5EF4-FFF2-40B4-BE49-F238E27FC236}">
              <a16:creationId xmlns:a16="http://schemas.microsoft.com/office/drawing/2014/main" id="{E9045EE2-0529-3684-8897-1DFDCDA0037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472407" y="2001864"/>
          <a:ext cx="787831" cy="710339"/>
        </a:xfrm>
        <a:prstGeom prst="rect">
          <a:avLst/>
        </a:prstGeom>
      </xdr:spPr>
    </xdr:pic>
    <xdr:clientData/>
  </xdr:twoCellAnchor>
  <xdr:twoCellAnchor editAs="oneCell">
    <xdr:from>
      <xdr:col>18</xdr:col>
      <xdr:colOff>503694</xdr:colOff>
      <xdr:row>10</xdr:row>
      <xdr:rowOff>129153</xdr:rowOff>
    </xdr:from>
    <xdr:to>
      <xdr:col>20</xdr:col>
      <xdr:colOff>51660</xdr:colOff>
      <xdr:row>14</xdr:row>
      <xdr:rowOff>142068</xdr:rowOff>
    </xdr:to>
    <xdr:pic>
      <xdr:nvPicPr>
        <xdr:cNvPr id="36" name="Graphic 35" descr="Bank with solid fill">
          <a:extLst>
            <a:ext uri="{FF2B5EF4-FFF2-40B4-BE49-F238E27FC236}">
              <a16:creationId xmlns:a16="http://schemas.microsoft.com/office/drawing/2014/main" id="{0119E354-3407-8709-2EC6-1764038ED8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29999" y="1937289"/>
          <a:ext cx="762000" cy="736169"/>
        </a:xfrm>
        <a:prstGeom prst="rect">
          <a:avLst/>
        </a:prstGeom>
      </xdr:spPr>
    </xdr:pic>
    <xdr:clientData/>
  </xdr:twoCellAnchor>
  <xdr:twoCellAnchor>
    <xdr:from>
      <xdr:col>4</xdr:col>
      <xdr:colOff>297051</xdr:colOff>
      <xdr:row>16</xdr:row>
      <xdr:rowOff>142069</xdr:rowOff>
    </xdr:from>
    <xdr:to>
      <xdr:col>15</xdr:col>
      <xdr:colOff>374543</xdr:colOff>
      <xdr:row>35</xdr:row>
      <xdr:rowOff>1</xdr:rowOff>
    </xdr:to>
    <xdr:sp macro="" textlink="">
      <xdr:nvSpPr>
        <xdr:cNvPr id="39" name="Rectangle: Rounded Corners 38">
          <a:extLst>
            <a:ext uri="{FF2B5EF4-FFF2-40B4-BE49-F238E27FC236}">
              <a16:creationId xmlns:a16="http://schemas.microsoft.com/office/drawing/2014/main" id="{BCB27E42-748D-C2BA-72A1-5CA4A7046EC3}"/>
            </a:ext>
          </a:extLst>
        </xdr:cNvPr>
        <xdr:cNvSpPr/>
      </xdr:nvSpPr>
      <xdr:spPr>
        <a:xfrm>
          <a:off x="2725119" y="3035086"/>
          <a:ext cx="6754678" cy="3293390"/>
        </a:xfrm>
        <a:prstGeom prst="roundRect">
          <a:avLst>
            <a:gd name="adj" fmla="val 3278"/>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297050</xdr:colOff>
      <xdr:row>16</xdr:row>
      <xdr:rowOff>129150</xdr:rowOff>
    </xdr:from>
    <xdr:to>
      <xdr:col>15</xdr:col>
      <xdr:colOff>374542</xdr:colOff>
      <xdr:row>19</xdr:row>
      <xdr:rowOff>129150</xdr:rowOff>
    </xdr:to>
    <xdr:sp macro="" textlink="">
      <xdr:nvSpPr>
        <xdr:cNvPr id="41" name="TextBox 40">
          <a:extLst>
            <a:ext uri="{FF2B5EF4-FFF2-40B4-BE49-F238E27FC236}">
              <a16:creationId xmlns:a16="http://schemas.microsoft.com/office/drawing/2014/main" id="{11A8C35E-69CF-5F27-DFA4-0F9919E28DBD}"/>
            </a:ext>
          </a:extLst>
        </xdr:cNvPr>
        <xdr:cNvSpPr txBox="1"/>
      </xdr:nvSpPr>
      <xdr:spPr>
        <a:xfrm>
          <a:off x="2725118" y="3022167"/>
          <a:ext cx="6754678" cy="542441"/>
        </a:xfrm>
        <a:prstGeom prst="rect">
          <a:avLst/>
        </a:prstGeom>
        <a:solidFill>
          <a:srgbClr val="0B1F3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bg1"/>
              </a:solidFill>
              <a:effectLst/>
              <a:latin typeface="Segoe UI Semibold" panose="020B0702040204020203" pitchFamily="34" charset="0"/>
              <a:ea typeface="+mn-ea"/>
              <a:cs typeface="Segoe UI Semibold" panose="020B0702040204020203" pitchFamily="34" charset="0"/>
            </a:rPr>
            <a:t>Revenue by Category</a:t>
          </a:r>
          <a:endParaRPr lang="en-IN" sz="1800">
            <a:solidFill>
              <a:schemeClr val="bg1"/>
            </a:solidFill>
            <a:effectLst/>
            <a:latin typeface="Segoe UI Semibold" panose="020B0702040204020203" pitchFamily="34" charset="0"/>
            <a:cs typeface="Segoe UI Semibold" panose="020B0702040204020203" pitchFamily="34" charset="0"/>
          </a:endParaRPr>
        </a:p>
        <a:p>
          <a:endParaRPr lang="en-IN" sz="1100"/>
        </a:p>
      </xdr:txBody>
    </xdr:sp>
    <xdr:clientData/>
  </xdr:twoCellAnchor>
  <xdr:twoCellAnchor>
    <xdr:from>
      <xdr:col>4</xdr:col>
      <xdr:colOff>309966</xdr:colOff>
      <xdr:row>19</xdr:row>
      <xdr:rowOff>129152</xdr:rowOff>
    </xdr:from>
    <xdr:to>
      <xdr:col>15</xdr:col>
      <xdr:colOff>361627</xdr:colOff>
      <xdr:row>35</xdr:row>
      <xdr:rowOff>0</xdr:rowOff>
    </xdr:to>
    <xdr:sp macro="" textlink="">
      <xdr:nvSpPr>
        <xdr:cNvPr id="44" name="Rectangle 43">
          <a:extLst>
            <a:ext uri="{FF2B5EF4-FFF2-40B4-BE49-F238E27FC236}">
              <a16:creationId xmlns:a16="http://schemas.microsoft.com/office/drawing/2014/main" id="{D9BDA205-F109-B05A-B0B7-47B2CA2FD2CC}"/>
            </a:ext>
          </a:extLst>
        </xdr:cNvPr>
        <xdr:cNvSpPr/>
      </xdr:nvSpPr>
      <xdr:spPr>
        <a:xfrm>
          <a:off x="2738034" y="3564610"/>
          <a:ext cx="6728847" cy="276386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297051</xdr:colOff>
      <xdr:row>19</xdr:row>
      <xdr:rowOff>142067</xdr:rowOff>
    </xdr:from>
    <xdr:to>
      <xdr:col>15</xdr:col>
      <xdr:colOff>361627</xdr:colOff>
      <xdr:row>34</xdr:row>
      <xdr:rowOff>167898</xdr:rowOff>
    </xdr:to>
    <xdr:sp macro="" textlink="">
      <xdr:nvSpPr>
        <xdr:cNvPr id="45" name="Rectangle 44">
          <a:extLst>
            <a:ext uri="{FF2B5EF4-FFF2-40B4-BE49-F238E27FC236}">
              <a16:creationId xmlns:a16="http://schemas.microsoft.com/office/drawing/2014/main" id="{A6EA6145-BBBB-AA8B-CA66-8C4341B5569F}"/>
            </a:ext>
          </a:extLst>
        </xdr:cNvPr>
        <xdr:cNvSpPr/>
      </xdr:nvSpPr>
      <xdr:spPr>
        <a:xfrm>
          <a:off x="2725119" y="3577525"/>
          <a:ext cx="6741762" cy="2738034"/>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219560</xdr:colOff>
      <xdr:row>19</xdr:row>
      <xdr:rowOff>149719</xdr:rowOff>
    </xdr:from>
    <xdr:to>
      <xdr:col>15</xdr:col>
      <xdr:colOff>400373</xdr:colOff>
      <xdr:row>35</xdr:row>
      <xdr:rowOff>52855</xdr:rowOff>
    </xdr:to>
    <xdr:sp macro="" textlink="">
      <xdr:nvSpPr>
        <xdr:cNvPr id="48" name="Rectangle: Rounded Corners 47">
          <a:extLst>
            <a:ext uri="{FF2B5EF4-FFF2-40B4-BE49-F238E27FC236}">
              <a16:creationId xmlns:a16="http://schemas.microsoft.com/office/drawing/2014/main" id="{80B5D141-B993-4B00-A021-ED3F97CF38D2}"/>
            </a:ext>
          </a:extLst>
        </xdr:cNvPr>
        <xdr:cNvSpPr/>
      </xdr:nvSpPr>
      <xdr:spPr>
        <a:xfrm>
          <a:off x="2671212" y="3611849"/>
          <a:ext cx="6922857" cy="2818615"/>
        </a:xfrm>
        <a:prstGeom prst="roundRect">
          <a:avLst>
            <a:gd name="adj" fmla="val 6967"/>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a:t>
          </a:r>
        </a:p>
      </xdr:txBody>
    </xdr:sp>
    <xdr:clientData/>
  </xdr:twoCellAnchor>
  <xdr:twoCellAnchor>
    <xdr:from>
      <xdr:col>4</xdr:col>
      <xdr:colOff>348712</xdr:colOff>
      <xdr:row>21</xdr:row>
      <xdr:rowOff>38746</xdr:rowOff>
    </xdr:from>
    <xdr:to>
      <xdr:col>15</xdr:col>
      <xdr:colOff>90407</xdr:colOff>
      <xdr:row>34</xdr:row>
      <xdr:rowOff>0</xdr:rowOff>
    </xdr:to>
    <xdr:sp macro="" textlink="">
      <xdr:nvSpPr>
        <xdr:cNvPr id="50" name="TextBox 49">
          <a:extLst>
            <a:ext uri="{FF2B5EF4-FFF2-40B4-BE49-F238E27FC236}">
              <a16:creationId xmlns:a16="http://schemas.microsoft.com/office/drawing/2014/main" id="{FFAB1611-2B65-0811-B938-3792863D1A44}"/>
            </a:ext>
          </a:extLst>
        </xdr:cNvPr>
        <xdr:cNvSpPr txBox="1"/>
      </xdr:nvSpPr>
      <xdr:spPr>
        <a:xfrm>
          <a:off x="2776780" y="3835831"/>
          <a:ext cx="6418881" cy="2311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348712</xdr:colOff>
      <xdr:row>19</xdr:row>
      <xdr:rowOff>103323</xdr:rowOff>
    </xdr:from>
    <xdr:to>
      <xdr:col>15</xdr:col>
      <xdr:colOff>309966</xdr:colOff>
      <xdr:row>35</xdr:row>
      <xdr:rowOff>25830</xdr:rowOff>
    </xdr:to>
    <xdr:graphicFrame macro="">
      <xdr:nvGraphicFramePr>
        <xdr:cNvPr id="51" name="Chart 50">
          <a:extLst>
            <a:ext uri="{FF2B5EF4-FFF2-40B4-BE49-F238E27FC236}">
              <a16:creationId xmlns:a16="http://schemas.microsoft.com/office/drawing/2014/main" id="{5EAB35AD-A9C9-4AFC-BBB2-847EC6526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19</xdr:row>
      <xdr:rowOff>149719</xdr:rowOff>
    </xdr:from>
    <xdr:to>
      <xdr:col>24</xdr:col>
      <xdr:colOff>182511</xdr:colOff>
      <xdr:row>35</xdr:row>
      <xdr:rowOff>52855</xdr:rowOff>
    </xdr:to>
    <xdr:sp macro="" textlink="">
      <xdr:nvSpPr>
        <xdr:cNvPr id="6" name="Rectangle: Rounded Corners 5">
          <a:extLst>
            <a:ext uri="{FF2B5EF4-FFF2-40B4-BE49-F238E27FC236}">
              <a16:creationId xmlns:a16="http://schemas.microsoft.com/office/drawing/2014/main" id="{E86996B6-F024-4BBF-8A64-AB53BB3490FC}"/>
            </a:ext>
          </a:extLst>
        </xdr:cNvPr>
        <xdr:cNvSpPr/>
      </xdr:nvSpPr>
      <xdr:spPr>
        <a:xfrm>
          <a:off x="9652000" y="3688786"/>
          <a:ext cx="5160911" cy="2883402"/>
        </a:xfrm>
        <a:prstGeom prst="roundRect">
          <a:avLst>
            <a:gd name="adj" fmla="val 6967"/>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a:t>
          </a:r>
        </a:p>
      </xdr:txBody>
    </xdr:sp>
    <xdr:clientData/>
  </xdr:twoCellAnchor>
  <xdr:twoCellAnchor>
    <xdr:from>
      <xdr:col>15</xdr:col>
      <xdr:colOff>457200</xdr:colOff>
      <xdr:row>16</xdr:row>
      <xdr:rowOff>124240</xdr:rowOff>
    </xdr:from>
    <xdr:to>
      <xdr:col>24</xdr:col>
      <xdr:colOff>182511</xdr:colOff>
      <xdr:row>19</xdr:row>
      <xdr:rowOff>124240</xdr:rowOff>
    </xdr:to>
    <xdr:sp macro="" textlink="">
      <xdr:nvSpPr>
        <xdr:cNvPr id="10" name="TextBox 9">
          <a:extLst>
            <a:ext uri="{FF2B5EF4-FFF2-40B4-BE49-F238E27FC236}">
              <a16:creationId xmlns:a16="http://schemas.microsoft.com/office/drawing/2014/main" id="{FEABC1B0-4104-4789-B70F-66881F38236A}"/>
            </a:ext>
          </a:extLst>
        </xdr:cNvPr>
        <xdr:cNvSpPr txBox="1"/>
      </xdr:nvSpPr>
      <xdr:spPr>
        <a:xfrm>
          <a:off x="9601200" y="3104507"/>
          <a:ext cx="5211711" cy="558800"/>
        </a:xfrm>
        <a:prstGeom prst="rect">
          <a:avLst/>
        </a:prstGeom>
        <a:solidFill>
          <a:srgbClr val="0B1F3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bg1"/>
              </a:solidFill>
              <a:effectLst/>
              <a:latin typeface="Segoe UI Semibold" panose="020B0702040204020203" pitchFamily="34" charset="0"/>
              <a:ea typeface="+mn-ea"/>
              <a:cs typeface="Segoe UI Semibold" panose="020B0702040204020203" pitchFamily="34" charset="0"/>
            </a:rPr>
            <a:t>Revenue by</a:t>
          </a:r>
          <a:r>
            <a:rPr lang="en-IN" sz="1800" baseline="0">
              <a:solidFill>
                <a:schemeClr val="bg1"/>
              </a:solidFill>
              <a:effectLst/>
              <a:latin typeface="Segoe UI Semibold" panose="020B0702040204020203" pitchFamily="34" charset="0"/>
              <a:ea typeface="+mn-ea"/>
              <a:cs typeface="Segoe UI Semibold" panose="020B0702040204020203" pitchFamily="34" charset="0"/>
            </a:rPr>
            <a:t> Region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600">
            <a:solidFill>
              <a:schemeClr val="bg1"/>
            </a:solidFill>
            <a:effectLst/>
            <a:latin typeface="Segoe UI Semibold" panose="020B0702040204020203" pitchFamily="34" charset="0"/>
            <a:cs typeface="Segoe UI Semibold" panose="020B0702040204020203" pitchFamily="34" charset="0"/>
          </a:endParaRPr>
        </a:p>
        <a:p>
          <a:endParaRPr lang="en-IN" sz="1100"/>
        </a:p>
      </xdr:txBody>
    </xdr:sp>
    <xdr:clientData/>
  </xdr:twoCellAnchor>
  <xdr:twoCellAnchor>
    <xdr:from>
      <xdr:col>17</xdr:col>
      <xdr:colOff>149666</xdr:colOff>
      <xdr:row>19</xdr:row>
      <xdr:rowOff>149719</xdr:rowOff>
    </xdr:from>
    <xdr:to>
      <xdr:col>24</xdr:col>
      <xdr:colOff>182511</xdr:colOff>
      <xdr:row>34</xdr:row>
      <xdr:rowOff>115957</xdr:rowOff>
    </xdr:to>
    <xdr:graphicFrame macro="">
      <xdr:nvGraphicFramePr>
        <xdr:cNvPr id="11" name="Chart 10">
          <a:extLst>
            <a:ext uri="{FF2B5EF4-FFF2-40B4-BE49-F238E27FC236}">
              <a16:creationId xmlns:a16="http://schemas.microsoft.com/office/drawing/2014/main" id="{315AED45-4567-4695-8993-603CF638C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287867</xdr:colOff>
      <xdr:row>39</xdr:row>
      <xdr:rowOff>33868</xdr:rowOff>
    </xdr:from>
    <xdr:to>
      <xdr:col>13</xdr:col>
      <xdr:colOff>575733</xdr:colOff>
      <xdr:row>59</xdr:row>
      <xdr:rowOff>33867</xdr:rowOff>
    </xdr:to>
    <xdr:sp macro="" textlink="">
      <xdr:nvSpPr>
        <xdr:cNvPr id="13" name="Rectangle: Rounded Corners 12">
          <a:extLst>
            <a:ext uri="{FF2B5EF4-FFF2-40B4-BE49-F238E27FC236}">
              <a16:creationId xmlns:a16="http://schemas.microsoft.com/office/drawing/2014/main" id="{E2D9D0E9-B1AD-4AC5-981D-9D3FAA8FA1D3}"/>
            </a:ext>
          </a:extLst>
        </xdr:cNvPr>
        <xdr:cNvSpPr/>
      </xdr:nvSpPr>
      <xdr:spPr>
        <a:xfrm>
          <a:off x="897467" y="7298268"/>
          <a:ext cx="7603066" cy="3725332"/>
        </a:xfrm>
        <a:prstGeom prst="roundRect">
          <a:avLst>
            <a:gd name="adj" fmla="val 6967"/>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a:t>
          </a:r>
        </a:p>
      </xdr:txBody>
    </xdr:sp>
    <xdr:clientData/>
  </xdr:twoCellAnchor>
  <xdr:twoCellAnchor>
    <xdr:from>
      <xdr:col>1</xdr:col>
      <xdr:colOff>287867</xdr:colOff>
      <xdr:row>36</xdr:row>
      <xdr:rowOff>-1</xdr:rowOff>
    </xdr:from>
    <xdr:to>
      <xdr:col>13</xdr:col>
      <xdr:colOff>524933</xdr:colOff>
      <xdr:row>39</xdr:row>
      <xdr:rowOff>33866</xdr:rowOff>
    </xdr:to>
    <xdr:sp macro="" textlink="">
      <xdr:nvSpPr>
        <xdr:cNvPr id="33" name="TextBox 32">
          <a:extLst>
            <a:ext uri="{FF2B5EF4-FFF2-40B4-BE49-F238E27FC236}">
              <a16:creationId xmlns:a16="http://schemas.microsoft.com/office/drawing/2014/main" id="{9B32D2D3-C6CE-C273-0025-2BAE2535515A}"/>
            </a:ext>
          </a:extLst>
        </xdr:cNvPr>
        <xdr:cNvSpPr txBox="1"/>
      </xdr:nvSpPr>
      <xdr:spPr>
        <a:xfrm>
          <a:off x="897467" y="6705599"/>
          <a:ext cx="7552266" cy="592667"/>
        </a:xfrm>
        <a:prstGeom prst="rect">
          <a:avLst/>
        </a:prstGeom>
        <a:solidFill>
          <a:srgbClr val="0B1F3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FFFFFF"/>
              </a:solidFill>
              <a:latin typeface="Segoe UI Semibold" panose="020B0702040204020203" pitchFamily="34" charset="0"/>
              <a:cs typeface="Segoe UI Semibold" panose="020B0702040204020203" pitchFamily="34" charset="0"/>
            </a:rPr>
            <a:t>Monthly Revenue</a:t>
          </a:r>
          <a:r>
            <a:rPr lang="en-IN" sz="1800" baseline="0">
              <a:solidFill>
                <a:srgbClr val="FFFFFF"/>
              </a:solidFill>
              <a:latin typeface="Segoe UI Semibold" panose="020B0702040204020203" pitchFamily="34" charset="0"/>
              <a:cs typeface="Segoe UI Semibold" panose="020B0702040204020203" pitchFamily="34" charset="0"/>
            </a:rPr>
            <a:t> Trend</a:t>
          </a:r>
          <a:endParaRPr lang="en-IN" sz="1800">
            <a:solidFill>
              <a:srgbClr val="FFFFFF"/>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287866</xdr:colOff>
      <xdr:row>39</xdr:row>
      <xdr:rowOff>16933</xdr:rowOff>
    </xdr:from>
    <xdr:to>
      <xdr:col>13</xdr:col>
      <xdr:colOff>507999</xdr:colOff>
      <xdr:row>58</xdr:row>
      <xdr:rowOff>135465</xdr:rowOff>
    </xdr:to>
    <xdr:graphicFrame macro="">
      <xdr:nvGraphicFramePr>
        <xdr:cNvPr id="35" name="Chart 34">
          <a:extLst>
            <a:ext uri="{FF2B5EF4-FFF2-40B4-BE49-F238E27FC236}">
              <a16:creationId xmlns:a16="http://schemas.microsoft.com/office/drawing/2014/main" id="{87454D3E-051B-4CBD-96F4-58CC68E46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101600</xdr:colOff>
      <xdr:row>40</xdr:row>
      <xdr:rowOff>101600</xdr:rowOff>
    </xdr:from>
    <xdr:to>
      <xdr:col>24</xdr:col>
      <xdr:colOff>182511</xdr:colOff>
      <xdr:row>59</xdr:row>
      <xdr:rowOff>16934</xdr:rowOff>
    </xdr:to>
    <xdr:sp macro="" textlink="">
      <xdr:nvSpPr>
        <xdr:cNvPr id="38" name="Rectangle: Rounded Corners 37">
          <a:extLst>
            <a:ext uri="{FF2B5EF4-FFF2-40B4-BE49-F238E27FC236}">
              <a16:creationId xmlns:a16="http://schemas.microsoft.com/office/drawing/2014/main" id="{14706BDD-4990-4DF6-9205-A73D800D96A6}"/>
            </a:ext>
          </a:extLst>
        </xdr:cNvPr>
        <xdr:cNvSpPr/>
      </xdr:nvSpPr>
      <xdr:spPr>
        <a:xfrm>
          <a:off x="8636000" y="7552267"/>
          <a:ext cx="6176911" cy="3454400"/>
        </a:xfrm>
        <a:prstGeom prst="roundRect">
          <a:avLst>
            <a:gd name="adj" fmla="val 6967"/>
          </a:avLst>
        </a:prstGeom>
        <a:solidFill>
          <a:schemeClr val="lt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atin typeface="Segoe UI Black" panose="020B0A02040204020203" pitchFamily="34" charset="0"/>
              <a:ea typeface="Segoe UI Black" panose="020B0A02040204020203" pitchFamily="34" charset="0"/>
            </a:rPr>
            <a:t>            </a:t>
          </a:r>
        </a:p>
      </xdr:txBody>
    </xdr:sp>
    <xdr:clientData/>
  </xdr:twoCellAnchor>
  <xdr:twoCellAnchor>
    <xdr:from>
      <xdr:col>14</xdr:col>
      <xdr:colOff>152400</xdr:colOff>
      <xdr:row>36</xdr:row>
      <xdr:rowOff>0</xdr:rowOff>
    </xdr:from>
    <xdr:to>
      <xdr:col>24</xdr:col>
      <xdr:colOff>182511</xdr:colOff>
      <xdr:row>39</xdr:row>
      <xdr:rowOff>50800</xdr:rowOff>
    </xdr:to>
    <xdr:sp macro="" textlink="">
      <xdr:nvSpPr>
        <xdr:cNvPr id="40" name="TextBox 39">
          <a:extLst>
            <a:ext uri="{FF2B5EF4-FFF2-40B4-BE49-F238E27FC236}">
              <a16:creationId xmlns:a16="http://schemas.microsoft.com/office/drawing/2014/main" id="{51D1824F-4A24-10A2-7922-DE0C51637F1A}"/>
            </a:ext>
          </a:extLst>
        </xdr:cNvPr>
        <xdr:cNvSpPr txBox="1"/>
      </xdr:nvSpPr>
      <xdr:spPr>
        <a:xfrm>
          <a:off x="8686800" y="6705600"/>
          <a:ext cx="6126111" cy="609600"/>
        </a:xfrm>
        <a:prstGeom prst="rect">
          <a:avLst/>
        </a:prstGeom>
        <a:solidFill>
          <a:srgbClr val="0B1F3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Segoe UI Semibold" panose="020B0702040204020203" pitchFamily="34" charset="0"/>
              <a:cs typeface="Segoe UI Semibold" panose="020B0702040204020203" pitchFamily="34" charset="0"/>
            </a:rPr>
            <a:t>Top 5 Products b</a:t>
          </a:r>
          <a:r>
            <a:rPr lang="en-IN" sz="1800" baseline="0">
              <a:solidFill>
                <a:schemeClr val="bg1"/>
              </a:solidFill>
              <a:latin typeface="Segoe UI Semibold" panose="020B0702040204020203" pitchFamily="34" charset="0"/>
              <a:cs typeface="Segoe UI Semibold" panose="020B0702040204020203" pitchFamily="34" charset="0"/>
            </a:rPr>
            <a:t>y Revenue</a:t>
          </a:r>
          <a:endParaRPr lang="en-IN" sz="1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101599</xdr:colOff>
      <xdr:row>40</xdr:row>
      <xdr:rowOff>101600</xdr:rowOff>
    </xdr:from>
    <xdr:to>
      <xdr:col>24</xdr:col>
      <xdr:colOff>135466</xdr:colOff>
      <xdr:row>58</xdr:row>
      <xdr:rowOff>135466</xdr:rowOff>
    </xdr:to>
    <xdr:graphicFrame macro="">
      <xdr:nvGraphicFramePr>
        <xdr:cNvPr id="42" name="Chart 41">
          <a:extLst>
            <a:ext uri="{FF2B5EF4-FFF2-40B4-BE49-F238E27FC236}">
              <a16:creationId xmlns:a16="http://schemas.microsoft.com/office/drawing/2014/main" id="{5D66E456-126E-4F4D-BE1F-EADF0EA82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270933</xdr:colOff>
      <xdr:row>13</xdr:row>
      <xdr:rowOff>16933</xdr:rowOff>
    </xdr:from>
    <xdr:to>
      <xdr:col>26</xdr:col>
      <xdr:colOff>84666</xdr:colOff>
      <xdr:row>17</xdr:row>
      <xdr:rowOff>0</xdr:rowOff>
    </xdr:to>
    <xdr:sp macro="" textlink="Dataset!N15">
      <xdr:nvSpPr>
        <xdr:cNvPr id="43" name="TextBox 42">
          <a:extLst>
            <a:ext uri="{FF2B5EF4-FFF2-40B4-BE49-F238E27FC236}">
              <a16:creationId xmlns:a16="http://schemas.microsoft.com/office/drawing/2014/main" id="{1840C609-42D4-E5C6-B831-1A62436A3DA6}"/>
            </a:ext>
          </a:extLst>
        </xdr:cNvPr>
        <xdr:cNvSpPr txBox="1"/>
      </xdr:nvSpPr>
      <xdr:spPr>
        <a:xfrm>
          <a:off x="13072533" y="2438400"/>
          <a:ext cx="2861733" cy="72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995D67-E087-4D6C-B504-26B0CABDB175}" type="TxLink">
            <a:rPr lang="en-US" sz="1600" b="0" i="0" u="none" strike="noStrike">
              <a:solidFill>
                <a:srgbClr val="FFC000"/>
              </a:solidFill>
              <a:latin typeface="Segoe UI Semibold" panose="020B0702040204020203" pitchFamily="34" charset="0"/>
              <a:ea typeface="Calibri"/>
              <a:cs typeface="Segoe UI Semibold" panose="020B0702040204020203" pitchFamily="34" charset="0"/>
            </a:rPr>
            <a:pPr/>
            <a:t>₹8,571.80</a:t>
          </a:fld>
          <a:endParaRPr lang="en-IN" sz="16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372533</xdr:colOff>
      <xdr:row>17</xdr:row>
      <xdr:rowOff>101602</xdr:rowOff>
    </xdr:from>
    <xdr:to>
      <xdr:col>4</xdr:col>
      <xdr:colOff>101600</xdr:colOff>
      <xdr:row>23</xdr:row>
      <xdr:rowOff>101602</xdr:rowOff>
    </xdr:to>
    <mc:AlternateContent xmlns:mc="http://schemas.openxmlformats.org/markup-compatibility/2006" xmlns:a14="http://schemas.microsoft.com/office/drawing/2010/main">
      <mc:Choice Requires="a14">
        <xdr:graphicFrame macro="">
          <xdr:nvGraphicFramePr>
            <xdr:cNvPr id="47" name="Region 3">
              <a:extLst>
                <a:ext uri="{FF2B5EF4-FFF2-40B4-BE49-F238E27FC236}">
                  <a16:creationId xmlns:a16="http://schemas.microsoft.com/office/drawing/2014/main" id="{42D1C4B9-CA6B-4552-8023-1F040200F33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82133" y="3268135"/>
              <a:ext cx="1557867"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355600</xdr:colOff>
      <xdr:row>23</xdr:row>
      <xdr:rowOff>152401</xdr:rowOff>
    </xdr:from>
    <xdr:to>
      <xdr:col>4</xdr:col>
      <xdr:colOff>67733</xdr:colOff>
      <xdr:row>29</xdr:row>
      <xdr:rowOff>169334</xdr:rowOff>
    </xdr:to>
    <mc:AlternateContent xmlns:mc="http://schemas.openxmlformats.org/markup-compatibility/2006" xmlns:a14="http://schemas.microsoft.com/office/drawing/2010/main">
      <mc:Choice Requires="a14">
        <xdr:graphicFrame macro="">
          <xdr:nvGraphicFramePr>
            <xdr:cNvPr id="49" name="Category 2">
              <a:extLst>
                <a:ext uri="{FF2B5EF4-FFF2-40B4-BE49-F238E27FC236}">
                  <a16:creationId xmlns:a16="http://schemas.microsoft.com/office/drawing/2014/main" id="{9CB8A5A3-EFC2-45E3-AED3-66F169C7E9E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65200" y="4436534"/>
              <a:ext cx="1540933" cy="113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355600</xdr:colOff>
      <xdr:row>30</xdr:row>
      <xdr:rowOff>50801</xdr:rowOff>
    </xdr:from>
    <xdr:to>
      <xdr:col>4</xdr:col>
      <xdr:colOff>67733</xdr:colOff>
      <xdr:row>35</xdr:row>
      <xdr:rowOff>50800</xdr:rowOff>
    </xdr:to>
    <mc:AlternateContent xmlns:mc="http://schemas.openxmlformats.org/markup-compatibility/2006" xmlns:a14="http://schemas.microsoft.com/office/drawing/2010/main">
      <mc:Choice Requires="a14">
        <xdr:graphicFrame macro="">
          <xdr:nvGraphicFramePr>
            <xdr:cNvPr id="52" name="Month 1">
              <a:extLst>
                <a:ext uri="{FF2B5EF4-FFF2-40B4-BE49-F238E27FC236}">
                  <a16:creationId xmlns:a16="http://schemas.microsoft.com/office/drawing/2014/main" id="{8EFFE0AA-1C6E-4D9A-BF68-A6F18BC6F86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65200" y="5638801"/>
              <a:ext cx="1540933" cy="931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refreshedDate="46222.866870370373" createdVersion="8" refreshedVersion="8" minRefreshableVersion="3" recordCount="650" xr:uid="{BEE05EFE-51CE-4CB9-A670-71E69767AC6E}">
  <cacheSource type="worksheet">
    <worksheetSource name="SalesData"/>
  </cacheSource>
  <cacheFields count="11">
    <cacheField name="Order ID" numFmtId="0">
      <sharedItems/>
    </cacheField>
    <cacheField name="Order Date" numFmtId="164">
      <sharedItems containsSemiMixedTypes="0" containsNonDate="0" containsDate="1" containsString="0" minDate="2024-01-01T00:00:00" maxDate="2025-01-01T00:00:00" count="29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20T00:00:00"/>
        <d v="2024-01-21T00:00:00"/>
        <d v="2024-01-22T00:00:00"/>
        <d v="2024-01-23T00:00:00"/>
        <d v="2024-01-24T00:00:00"/>
        <d v="2024-01-25T00:00:00"/>
        <d v="2024-01-26T00:00:00"/>
        <d v="2024-01-27T00:00:00"/>
        <d v="2024-01-28T00:00:00"/>
        <d v="2024-01-29T00:00:00"/>
        <d v="2024-01-30T00:00:00"/>
        <d v="2024-02-01T00:00:00"/>
        <d v="2024-02-02T00:00:00"/>
        <d v="2024-02-04T00:00:00"/>
        <d v="2024-02-05T00:00:00"/>
        <d v="2024-02-06T00:00:00"/>
        <d v="2024-02-07T00:00:00"/>
        <d v="2024-02-08T00:00:00"/>
        <d v="2024-02-10T00:00:00"/>
        <d v="2024-02-11T00:00:00"/>
        <d v="2024-02-12T00:00:00"/>
        <d v="2024-02-13T00:00:00"/>
        <d v="2024-02-14T00:00:00"/>
        <d v="2024-02-15T00:00:00"/>
        <d v="2024-02-16T00:00:00"/>
        <d v="2024-02-17T00:00:00"/>
        <d v="2024-02-19T00:00:00"/>
        <d v="2024-02-20T00:00:00"/>
        <d v="2024-02-21T00:00:00"/>
        <d v="2024-02-22T00:00:00"/>
        <d v="2024-02-23T00:00:00"/>
        <d v="2024-02-25T00:00:00"/>
        <d v="2024-02-28T00:00:00"/>
        <d v="2024-03-01T00:00:00"/>
        <d v="2024-03-02T00:00:00"/>
        <d v="2024-03-03T00:00:00"/>
        <d v="2024-03-05T00:00:00"/>
        <d v="2024-03-06T00:00:00"/>
        <d v="2024-03-07T00:00:00"/>
        <d v="2024-03-08T00:00:00"/>
        <d v="2024-03-09T00:00:00"/>
        <d v="2024-03-10T00:00:00"/>
        <d v="2024-03-12T00:00:00"/>
        <d v="2024-03-13T00:00:00"/>
        <d v="2024-03-14T00:00:00"/>
        <d v="2024-03-15T00:00:00"/>
        <d v="2024-03-16T00:00:00"/>
        <d v="2024-03-18T00:00:00"/>
        <d v="2024-03-24T00:00:00"/>
        <d v="2024-03-25T00:00:00"/>
        <d v="2024-03-26T00:00:00"/>
        <d v="2024-03-28T00:00:00"/>
        <d v="2024-03-30T00:00:00"/>
        <d v="2024-03-31T00:00:00"/>
        <d v="2024-04-01T00:00:00"/>
        <d v="2024-04-02T00:00:00"/>
        <d v="2024-04-03T00:00:00"/>
        <d v="2024-04-05T00:00:00"/>
        <d v="2024-04-06T00:00:00"/>
        <d v="2024-04-07T00:00:00"/>
        <d v="2024-04-08T00:00:00"/>
        <d v="2024-04-09T00:00:00"/>
        <d v="2024-04-10T00:00:00"/>
        <d v="2024-04-11T00:00:00"/>
        <d v="2024-04-12T00:00:00"/>
        <d v="2024-04-13T00:00:00"/>
        <d v="2024-04-14T00:00:00"/>
        <d v="2024-04-15T00:00:00"/>
        <d v="2024-04-16T00:00:00"/>
        <d v="2024-04-18T00:00:00"/>
        <d v="2024-04-19T00:00:00"/>
        <d v="2024-04-20T00:00:00"/>
        <d v="2024-04-21T00:00:00"/>
        <d v="2024-04-22T00:00:00"/>
        <d v="2024-04-23T00:00:00"/>
        <d v="2024-04-25T00:00:00"/>
        <d v="2024-04-26T00:00:00"/>
        <d v="2024-04-27T00:00:00"/>
        <d v="2024-04-29T00:00:00"/>
        <d v="2024-04-30T00:00:00"/>
        <d v="2024-05-01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2T00:00:00"/>
        <d v="2024-06-04T00:00:00"/>
        <d v="2024-06-05T00:00:00"/>
        <d v="2024-06-06T00:00:00"/>
        <d v="2024-06-08T00:00:00"/>
        <d v="2024-06-09T00:00:00"/>
        <d v="2024-06-10T00:00:00"/>
        <d v="2024-06-11T00:00:00"/>
        <d v="2024-06-12T00:00:00"/>
        <d v="2024-06-13T00:00:00"/>
        <d v="2024-06-14T00:00:00"/>
        <d v="2024-06-15T00:00:00"/>
        <d v="2024-06-16T00:00:00"/>
        <d v="2024-06-18T00:00:00"/>
        <d v="2024-06-19T00:00:00"/>
        <d v="2024-06-21T00:00:00"/>
        <d v="2024-06-23T00:00:00"/>
        <d v="2024-06-24T00:00:00"/>
        <d v="2024-06-25T00:00:00"/>
        <d v="2024-06-26T00:00:00"/>
        <d v="2024-06-27T00:00:00"/>
        <d v="2024-06-28T00:00:00"/>
        <d v="2024-06-29T00:00:00"/>
        <d v="2024-06-30T00:00:00"/>
        <d v="2024-07-01T00:00:00"/>
        <d v="2024-07-02T00:00:00"/>
        <d v="2024-07-04T00:00:00"/>
        <d v="2024-07-06T00:00:00"/>
        <d v="2024-07-07T00:00:00"/>
        <d v="2024-07-08T00:00:00"/>
        <d v="2024-07-09T00:00:00"/>
        <d v="2024-07-10T00:00:00"/>
        <d v="2024-07-11T00:00:00"/>
        <d v="2024-07-13T00:00:00"/>
        <d v="2024-07-15T00:00:00"/>
        <d v="2024-07-16T00:00:00"/>
        <d v="2024-07-17T00:00:00"/>
        <d v="2024-07-18T00:00:00"/>
        <d v="2024-07-19T00:00:00"/>
        <d v="2024-07-20T00:00:00"/>
        <d v="2024-07-22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9T00:00:00"/>
        <d v="2024-08-10T00:00:00"/>
        <d v="2024-08-11T00:00:00"/>
        <d v="2024-08-12T00:00:00"/>
        <d v="2024-08-13T00:00:00"/>
        <d v="2024-08-14T00:00:00"/>
        <d v="2024-08-15T00:00:00"/>
        <d v="2024-08-16T00:00:00"/>
        <d v="2024-08-18T00:00:00"/>
        <d v="2024-08-19T00:00:00"/>
        <d v="2024-08-20T00:00:00"/>
        <d v="2024-08-21T00:00:00"/>
        <d v="2024-08-22T00:00:00"/>
        <d v="2024-08-23T00:00:00"/>
        <d v="2024-08-24T00:00:00"/>
        <d v="2024-08-25T00:00:00"/>
        <d v="2024-08-26T00:00:00"/>
        <d v="2024-08-27T00:00:00"/>
        <d v="2024-08-29T00:00:00"/>
        <d v="2024-08-30T00:00:00"/>
        <d v="2024-08-31T00:00:00"/>
        <d v="2024-09-02T00:00:00"/>
        <d v="2024-09-03T00:00:00"/>
        <d v="2024-09-04T00:00:00"/>
        <d v="2024-09-07T00:00:00"/>
        <d v="2024-09-08T00:00:00"/>
        <d v="2024-09-09T00:00:00"/>
        <d v="2024-09-11T00:00:00"/>
        <d v="2024-09-12T00:00:00"/>
        <d v="2024-09-14T00:00:00"/>
        <d v="2024-09-15T00:00:00"/>
        <d v="2024-09-16T00:00:00"/>
        <d v="2024-09-17T00:00:00"/>
        <d v="2024-09-18T00:00:00"/>
        <d v="2024-09-19T00:00:00"/>
        <d v="2024-09-20T00:00:00"/>
        <d v="2024-09-22T00:00:00"/>
        <d v="2024-09-25T00:00:00"/>
        <d v="2024-09-26T00:00:00"/>
        <d v="2024-09-27T00:00:00"/>
        <d v="2024-09-28T00:00:00"/>
        <d v="2024-09-29T00:00:00"/>
        <d v="2024-09-30T00:00:00"/>
        <d v="2024-10-01T00:00:00"/>
        <d v="2024-10-02T00:00:00"/>
        <d v="2024-10-03T00:00:00"/>
        <d v="2024-10-04T00:00:00"/>
        <d v="2024-10-05T00:00:00"/>
        <d v="2024-10-06T00:00:00"/>
        <d v="2024-10-07T00:00:00"/>
        <d v="2024-10-09T00:00:00"/>
        <d v="2024-10-10T00:00:00"/>
        <d v="2024-10-12T00:00:00"/>
        <d v="2024-10-13T00:00:00"/>
        <d v="2024-10-14T00:00:00"/>
        <d v="2024-10-15T00:00:00"/>
        <d v="2024-10-16T00:00:00"/>
        <d v="2024-10-17T00:00:00"/>
        <d v="2024-10-18T00:00:00"/>
        <d v="2024-10-19T00:00:00"/>
        <d v="2024-10-21T00:00:00"/>
        <d v="2024-10-22T00:00:00"/>
        <d v="2024-10-23T00:00:00"/>
        <d v="2024-10-24T00:00:00"/>
        <d v="2024-10-26T00:00:00"/>
        <d v="2024-10-27T00:00:00"/>
        <d v="2024-10-28T00:00:00"/>
        <d v="2024-10-29T00:00:00"/>
        <d v="2024-10-30T00:00:00"/>
        <d v="2024-10-31T00:00:00"/>
        <d v="2024-11-01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1T00:00:00"/>
        <d v="2024-11-22T00:00:00"/>
        <d v="2024-11-24T00:00:00"/>
        <d v="2024-11-25T00:00:00"/>
        <d v="2024-11-26T00:00:00"/>
        <d v="2024-11-29T00:00:00"/>
        <d v="2024-11-30T00:00:00"/>
        <d v="2024-12-01T00:00:00"/>
        <d v="2024-12-03T00:00:00"/>
        <d v="2024-12-04T00:00:00"/>
        <d v="2024-12-05T00:00:00"/>
        <d v="2024-12-06T00:00:00"/>
        <d v="2024-12-07T00:00:00"/>
        <d v="2024-12-08T00:00:00"/>
        <d v="2024-12-09T00:00:00"/>
        <d v="2024-12-11T00:00:00"/>
        <d v="2024-12-12T00:00:00"/>
        <d v="2024-12-13T00:00:00"/>
        <d v="2024-12-14T00:00:00"/>
        <d v="2024-12-16T00:00:00"/>
        <d v="2024-12-18T00:00:00"/>
        <d v="2024-12-21T00:00:00"/>
        <d v="2024-12-22T00:00:00"/>
        <d v="2024-12-23T00:00:00"/>
        <d v="2024-12-24T00:00:00"/>
        <d v="2024-12-25T00:00:00"/>
        <d v="2024-12-26T00:00:00"/>
        <d v="2024-12-27T00:00:00"/>
        <d v="2024-12-29T00:00:00"/>
        <d v="2024-12-30T00:00:00"/>
        <d v="2024-12-31T00:00:00"/>
      </sharedItems>
    </cacheField>
    <cacheField name="Product" numFmtId="0">
      <sharedItems count="20">
        <s v="Kids Story Collection"/>
        <s v="Bluetooth Speaker"/>
        <s v="Bestseller Fiction Novel"/>
        <s v="Wireless Earbuds Pro"/>
        <s v="Non-Stick Cookware Set"/>
        <s v="Cricket Kit Set"/>
        <s v="LED Desk Lamp"/>
        <s v="Laptop Sleeve Case"/>
        <s v="Women's Denim Jacket"/>
        <s v="4K Action Camera"/>
        <s v="Cotton Casual Shirt"/>
        <s v="Adjustable Dumbbells"/>
        <s v="Yoga Mat Premium"/>
        <s v="Kids Winter Hoodie"/>
        <s v="Formal Trouser Pair"/>
        <s v="Self-Help Guide"/>
        <s v="Electric Kettle"/>
        <s v="Smart Fitness Band"/>
        <s v="Memory Foam Pillow"/>
        <s v="Men's Running Shoes"/>
      </sharedItems>
    </cacheField>
    <cacheField name="Category" numFmtId="0">
      <sharedItems count="5">
        <s v="Books"/>
        <s v="Electronics"/>
        <s v="Home &amp; Kitchen"/>
        <s v="Sports"/>
        <s v="Clothing"/>
      </sharedItems>
    </cacheField>
    <cacheField name="Region" numFmtId="0">
      <sharedItems count="4">
        <s v="South"/>
        <s v="West"/>
        <s v="North"/>
        <s v="East"/>
      </sharedItems>
    </cacheField>
    <cacheField name="Sales Rep" numFmtId="0">
      <sharedItems count="6">
        <s v="Rohan Mehta"/>
        <s v="Aarav Shah"/>
        <s v="Isha Patel"/>
        <s v="Sneha Iyer"/>
        <s v="Karan Verma"/>
        <s v="Priya Nair"/>
      </sharedItems>
    </cacheField>
    <cacheField name="Units Sold" numFmtId="0">
      <sharedItems containsSemiMixedTypes="0" containsString="0" containsNumber="1" containsInteger="1" minValue="1" maxValue="12"/>
    </cacheField>
    <cacheField name="Unit Price" numFmtId="165">
      <sharedItems containsSemiMixedTypes="0" containsString="0" containsNumber="1" minValue="269.10000000000002" maxValue="5499"/>
    </cacheField>
    <cacheField name="Revenue" numFmtId="165">
      <sharedItems containsSemiMixedTypes="0" containsString="0" containsNumber="1" minValue="299" maxValue="65988" count="298">
        <n v="1196"/>
        <n v="3398.3"/>
        <n v="3192"/>
        <n v="14994"/>
        <n v="20994"/>
        <n v="15296.6"/>
        <n v="2716.6"/>
        <n v="3596"/>
        <n v="24493"/>
        <n v="6597"/>
        <n v="3820.75"/>
        <n v="4495"/>
        <n v="16497"/>
        <n v="17495"/>
        <n v="5994"/>
        <n v="15196.2"/>
        <n v="2653.35"/>
        <n v="4794"/>
        <n v="6495"/>
        <n v="2548.3000000000002"/>
        <n v="2397"/>
        <n v="1698.3"/>
        <n v="3036.2"/>
        <n v="1709.05"/>
        <n v="1047"/>
        <n v="7794"/>
        <n v="7973.35"/>
        <n v="1799"/>
        <n v="899"/>
        <n v="31493"/>
        <n v="4998"/>
        <n v="1598"/>
        <n v="3995"/>
        <n v="314.10000000000002"/>
        <n v="27495"/>
        <n v="2998"/>
        <n v="15745.5"/>
        <n v="1798"/>
        <n v="3996"/>
        <n v="11992"/>
        <n v="1299"/>
        <n v="2997"/>
        <n v="22794.3"/>
        <n v="3598"/>
        <n v="10254.299999999999"/>
        <n v="13194"/>
        <n v="13497"/>
        <n v="13996"/>
        <n v="7196.4"/>
        <n v="6476.4"/>
        <n v="1657.75"/>
        <n v="5397"/>
        <n v="12593"/>
        <n v="14396.4"/>
        <n v="9897"/>
        <n v="3596.4"/>
        <n v="7404.3"/>
        <n v="11870.25"/>
        <n v="1199"/>
        <n v="10995"/>
        <n v="9996"/>
        <n v="13196"/>
        <n v="5394"/>
        <n v="1745"/>
        <n v="897"/>
        <n v="2562.15"/>
        <n v="2792"/>
        <n v="8393"/>
        <n v="899.1"/>
        <n v="2392"/>
        <n v="5499"/>
        <n v="5995"/>
        <n v="38493"/>
        <n v="15996"/>
        <n v="799"/>
        <n v="8995"/>
        <n v="2398"/>
        <n v="4796"/>
        <n v="9714.6"/>
        <n v="5997"/>
        <n v="5196"/>
        <n v="11994"/>
        <n v="10497"/>
        <n v="7992"/>
        <n v="2697"/>
        <n v="2089.0500000000002"/>
        <n v="16495"/>
        <n v="2598"/>
        <n v="6293.7"/>
        <n v="19794"/>
        <n v="4995"/>
        <n v="10794"/>
        <n v="3999"/>
        <n v="2499"/>
        <n v="3237.3"/>
        <n v="7497"/>
        <n v="4497"/>
        <n v="19995"/>
        <n v="5996"/>
        <n v="5695.25"/>
        <n v="3597"/>
        <n v="12536.2"/>
        <n v="11397.15"/>
        <n v="15832.8"/>
        <n v="1104.1500000000001"/>
        <n v="6293"/>
        <n v="999"/>
        <n v="6796.6"/>
        <n v="299"/>
        <n v="1995"/>
        <n v="1396"/>
        <n v="1197"/>
        <n v="6998"/>
        <n v="4676.3999999999996"/>
        <n v="6598"/>
        <n v="9447.2999999999993"/>
        <n v="43992"/>
        <n v="7192"/>
        <n v="3416.2"/>
        <n v="3299"/>
        <n v="798"/>
        <n v="9968.35"/>
        <n v="3822.45"/>
        <n v="3897"/>
        <n v="949.05"/>
        <n v="49491"/>
        <n v="3236.4"/>
        <n v="7998"/>
        <n v="2158.1999999999998"/>
        <n v="22043.7"/>
        <n v="1495"/>
        <n v="1999"/>
        <n v="30392.400000000001"/>
        <n v="1079.0999999999999"/>
        <n v="7495"/>
        <n v="4854.6000000000004"/>
        <n v="4398"/>
        <n v="12593.7"/>
        <n v="6370.75"/>
        <n v="17493"/>
        <n v="27993"/>
        <n v="7196"/>
        <n v="849.15"/>
        <n v="14392"/>
        <n v="10493"/>
        <n v="2198.6999999999998"/>
        <n v="13993"/>
        <n v="3798.1"/>
        <n v="10445.25"/>
        <n v="5593"/>
        <n v="809.1"/>
        <n v="12495"/>
        <n v="598"/>
        <n v="8544.2999999999993"/>
        <n v="24294.6"/>
        <n v="7996"/>
        <n v="6114.9"/>
        <n v="10998"/>
        <n v="4857.3"/>
        <n v="26994"/>
        <n v="2249.1"/>
        <n v="3599.1"/>
        <n v="12822.15"/>
        <n v="1019.15"/>
        <n v="719.1"/>
        <n v="8996.4"/>
        <n v="3196"/>
        <n v="32994"/>
        <n v="2094"/>
        <n v="1596"/>
        <n v="1998"/>
        <n v="32392.799999999999"/>
        <n v="20783.7"/>
        <n v="4556.2"/>
        <n v="19791"/>
        <n v="4178.1000000000004"/>
        <n v="6170.25"/>
        <n v="8356.2000000000007"/>
        <n v="3998"/>
        <n v="31992"/>
        <n v="23994"/>
        <n v="9995"/>
        <n v="26592.400000000001"/>
        <n v="26392"/>
        <n v="4314.6000000000004"/>
        <n v="11333.7"/>
        <n v="5096.6000000000004"/>
        <n v="9443.7000000000007"/>
        <n v="8991"/>
        <n v="399"/>
        <n v="14571.9"/>
        <n v="8545.25"/>
        <n v="18992.400000000001"/>
        <n v="21996"/>
        <n v="359.1"/>
        <n v="1704.3"/>
        <n v="27992"/>
        <n v="1619.1"/>
        <n v="9592"/>
        <n v="8994"/>
        <n v="698"/>
        <n v="2338.1999999999998"/>
        <n v="19796.400000000001"/>
        <n v="2974.15"/>
        <n v="1499"/>
        <n v="349"/>
        <n v="4416.6000000000004"/>
        <n v="1794"/>
        <n v="3738.3"/>
        <n v="11997"/>
        <n v="37393.199999999997"/>
        <n v="1708.1"/>
        <n v="4499"/>
        <n v="2093"/>
        <n v="1518.1"/>
        <n v="13491"/>
        <n v="8632.7999999999993"/>
        <n v="2793"/>
        <n v="4745.25"/>
        <n v="5127.1499999999996"/>
        <n v="16191"/>
        <n v="2292.4499999999998"/>
        <n v="9402.15"/>
        <n v="7598.1"/>
        <n v="5224.05"/>
        <n v="2443"/>
        <n v="14845.5"/>
        <n v="9972.15"/>
        <n v="9174.9"/>
        <n v="3058.3"/>
        <n v="22495"/>
        <n v="1799.1"/>
        <n v="6747.3"/>
        <n v="889.95"/>
        <n v="7194"/>
        <n v="331.55"/>
        <n v="7644.9"/>
        <n v="4949.1000000000004"/>
        <n v="2804.15"/>
        <n v="1988.35"/>
        <n v="764.15"/>
        <n v="7198.2"/>
        <n v="11245.5"/>
        <n v="3417.15"/>
        <n v="3149.1"/>
        <n v="2199"/>
        <n v="3057.45"/>
        <n v="15192.4"/>
        <n v="2969.1"/>
        <n v="39990"/>
        <n v="718.2"/>
        <n v="4045.5"/>
        <n v="21370.25"/>
        <n v="3141"/>
        <n v="31491"/>
        <n v="5694.3"/>
        <n v="22491"/>
        <n v="26989.200000000001"/>
        <n v="9112.4"/>
        <n v="3418.1"/>
        <n v="40491"/>
        <n v="39592.800000000003"/>
        <n v="60489"/>
        <n v="10791"/>
        <n v="17991"/>
        <n v="8091"/>
        <n v="12990"/>
        <n v="9588"/>
        <n v="7120.25"/>
        <n v="32660.1"/>
        <n v="30592.35"/>
        <n v="4248.3"/>
        <n v="23740.5"/>
        <n v="10392"/>
        <n v="29691"/>
        <n v="65988"/>
        <n v="1436.4"/>
        <n v="7916.4"/>
        <n v="15992"/>
        <n v="8789"/>
        <n v="9895.5"/>
        <n v="6267.15"/>
        <n v="3289"/>
        <n v="24990"/>
        <n v="10792.8"/>
        <n v="3499"/>
        <n v="11988"/>
        <n v="2152.8000000000002"/>
        <n v="18696.599999999999"/>
        <n v="6072.4"/>
        <n v="3591"/>
        <n v="14289"/>
        <n v="2691"/>
        <n v="35991"/>
        <n v="9093"/>
        <n v="1884.6"/>
        <n v="1256.4000000000001"/>
        <n v="11990"/>
      </sharedItems>
    </cacheField>
    <cacheField name="Month" numFmtId="165">
      <sharedItems count="12">
        <s v="Jan"/>
        <s v="Feb"/>
        <s v="Mar"/>
        <s v="Apr"/>
        <s v="May"/>
        <s v="Jun"/>
        <s v="Jul"/>
        <s v="Aug"/>
        <s v="Sep"/>
        <s v="Oct"/>
        <s v="Nov"/>
        <s v="Dec"/>
      </sharedItems>
    </cacheField>
    <cacheField name="Year" numFmtId="0">
      <sharedItems containsSemiMixedTypes="0" containsString="0" containsNumber="1" containsInteger="1" minValue="2024" maxValue="2024" count="1">
        <n v="2024"/>
      </sharedItems>
    </cacheField>
  </cacheFields>
  <extLst>
    <ext xmlns:x14="http://schemas.microsoft.com/office/spreadsheetml/2009/9/main" uri="{725AE2AE-9491-48be-B2B4-4EB974FC3084}">
      <x14:pivotCacheDefinition pivotCacheId="1023365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s v="ORD1000"/>
    <x v="0"/>
    <x v="0"/>
    <x v="0"/>
    <x v="0"/>
    <x v="0"/>
    <n v="4"/>
    <n v="299"/>
    <x v="0"/>
    <x v="0"/>
    <x v="0"/>
  </r>
  <r>
    <s v="ORD1001"/>
    <x v="0"/>
    <x v="1"/>
    <x v="1"/>
    <x v="1"/>
    <x v="1"/>
    <n v="2"/>
    <n v="1699.15"/>
    <x v="1"/>
    <x v="0"/>
    <x v="0"/>
  </r>
  <r>
    <s v="ORD1002"/>
    <x v="1"/>
    <x v="2"/>
    <x v="0"/>
    <x v="0"/>
    <x v="2"/>
    <n v="8"/>
    <n v="399"/>
    <x v="2"/>
    <x v="0"/>
    <x v="0"/>
  </r>
  <r>
    <s v="ORD1003"/>
    <x v="1"/>
    <x v="3"/>
    <x v="1"/>
    <x v="2"/>
    <x v="3"/>
    <n v="6"/>
    <n v="2499"/>
    <x v="3"/>
    <x v="0"/>
    <x v="0"/>
  </r>
  <r>
    <s v="ORD1004"/>
    <x v="2"/>
    <x v="4"/>
    <x v="2"/>
    <x v="0"/>
    <x v="0"/>
    <n v="6"/>
    <n v="3499"/>
    <x v="4"/>
    <x v="0"/>
    <x v="0"/>
  </r>
  <r>
    <s v="ORD1005"/>
    <x v="3"/>
    <x v="5"/>
    <x v="3"/>
    <x v="1"/>
    <x v="4"/>
    <n v="4"/>
    <n v="3824.15"/>
    <x v="5"/>
    <x v="0"/>
    <x v="0"/>
  </r>
  <r>
    <s v="ORD1006"/>
    <x v="4"/>
    <x v="6"/>
    <x v="2"/>
    <x v="3"/>
    <x v="1"/>
    <n v="4"/>
    <n v="679.15"/>
    <x v="6"/>
    <x v="0"/>
    <x v="0"/>
  </r>
  <r>
    <s v="ORD1007"/>
    <x v="5"/>
    <x v="7"/>
    <x v="1"/>
    <x v="1"/>
    <x v="1"/>
    <n v="4"/>
    <n v="899"/>
    <x v="7"/>
    <x v="0"/>
    <x v="0"/>
  </r>
  <r>
    <s v="ORD1008"/>
    <x v="6"/>
    <x v="4"/>
    <x v="2"/>
    <x v="2"/>
    <x v="4"/>
    <n v="7"/>
    <n v="3499"/>
    <x v="8"/>
    <x v="0"/>
    <x v="0"/>
  </r>
  <r>
    <s v="ORD1009"/>
    <x v="6"/>
    <x v="8"/>
    <x v="4"/>
    <x v="1"/>
    <x v="0"/>
    <n v="3"/>
    <n v="2199"/>
    <x v="9"/>
    <x v="0"/>
    <x v="0"/>
  </r>
  <r>
    <s v="ORD1010"/>
    <x v="7"/>
    <x v="7"/>
    <x v="1"/>
    <x v="0"/>
    <x v="3"/>
    <n v="5"/>
    <n v="764.15"/>
    <x v="10"/>
    <x v="0"/>
    <x v="0"/>
  </r>
  <r>
    <s v="ORD1011"/>
    <x v="7"/>
    <x v="7"/>
    <x v="1"/>
    <x v="3"/>
    <x v="0"/>
    <n v="5"/>
    <n v="899"/>
    <x v="11"/>
    <x v="0"/>
    <x v="0"/>
  </r>
  <r>
    <s v="ORD1012"/>
    <x v="7"/>
    <x v="9"/>
    <x v="1"/>
    <x v="2"/>
    <x v="1"/>
    <n v="3"/>
    <n v="5499"/>
    <x v="12"/>
    <x v="0"/>
    <x v="0"/>
  </r>
  <r>
    <s v="ORD1013"/>
    <x v="7"/>
    <x v="9"/>
    <x v="1"/>
    <x v="1"/>
    <x v="5"/>
    <n v="3"/>
    <n v="5499"/>
    <x v="12"/>
    <x v="0"/>
    <x v="0"/>
  </r>
  <r>
    <s v="ORD1014"/>
    <x v="7"/>
    <x v="4"/>
    <x v="2"/>
    <x v="2"/>
    <x v="4"/>
    <n v="5"/>
    <n v="3499"/>
    <x v="13"/>
    <x v="0"/>
    <x v="0"/>
  </r>
  <r>
    <s v="ORD1015"/>
    <x v="8"/>
    <x v="10"/>
    <x v="4"/>
    <x v="1"/>
    <x v="1"/>
    <n v="6"/>
    <n v="999"/>
    <x v="14"/>
    <x v="0"/>
    <x v="0"/>
  </r>
  <r>
    <s v="ORD1016"/>
    <x v="8"/>
    <x v="11"/>
    <x v="3"/>
    <x v="0"/>
    <x v="0"/>
    <n v="4"/>
    <n v="3799.05"/>
    <x v="15"/>
    <x v="0"/>
    <x v="0"/>
  </r>
  <r>
    <s v="ORD1017"/>
    <x v="9"/>
    <x v="2"/>
    <x v="0"/>
    <x v="0"/>
    <x v="4"/>
    <n v="7"/>
    <n v="379.05"/>
    <x v="16"/>
    <x v="0"/>
    <x v="0"/>
  </r>
  <r>
    <s v="ORD1018"/>
    <x v="10"/>
    <x v="4"/>
    <x v="2"/>
    <x v="2"/>
    <x v="2"/>
    <n v="6"/>
    <n v="3499"/>
    <x v="4"/>
    <x v="0"/>
    <x v="0"/>
  </r>
  <r>
    <s v="ORD1019"/>
    <x v="11"/>
    <x v="6"/>
    <x v="2"/>
    <x v="3"/>
    <x v="1"/>
    <n v="6"/>
    <n v="799"/>
    <x v="17"/>
    <x v="0"/>
    <x v="0"/>
  </r>
  <r>
    <s v="ORD1020"/>
    <x v="11"/>
    <x v="12"/>
    <x v="3"/>
    <x v="2"/>
    <x v="4"/>
    <n v="5"/>
    <n v="1299"/>
    <x v="18"/>
    <x v="0"/>
    <x v="0"/>
  </r>
  <r>
    <s v="ORD1021"/>
    <x v="11"/>
    <x v="13"/>
    <x v="4"/>
    <x v="2"/>
    <x v="4"/>
    <n v="2"/>
    <n v="1274.1500000000001"/>
    <x v="19"/>
    <x v="0"/>
    <x v="0"/>
  </r>
  <r>
    <s v="ORD1022"/>
    <x v="11"/>
    <x v="6"/>
    <x v="2"/>
    <x v="0"/>
    <x v="3"/>
    <n v="3"/>
    <n v="799"/>
    <x v="20"/>
    <x v="0"/>
    <x v="0"/>
  </r>
  <r>
    <s v="ORD1023"/>
    <x v="11"/>
    <x v="10"/>
    <x v="4"/>
    <x v="0"/>
    <x v="5"/>
    <n v="2"/>
    <n v="849.15"/>
    <x v="21"/>
    <x v="0"/>
    <x v="0"/>
  </r>
  <r>
    <s v="ORD1024"/>
    <x v="12"/>
    <x v="6"/>
    <x v="2"/>
    <x v="2"/>
    <x v="5"/>
    <n v="4"/>
    <n v="759.05"/>
    <x v="22"/>
    <x v="0"/>
    <x v="0"/>
  </r>
  <r>
    <s v="ORD1025"/>
    <x v="12"/>
    <x v="14"/>
    <x v="4"/>
    <x v="1"/>
    <x v="5"/>
    <n v="1"/>
    <n v="1709.05"/>
    <x v="23"/>
    <x v="0"/>
    <x v="0"/>
  </r>
  <r>
    <s v="ORD1026"/>
    <x v="12"/>
    <x v="2"/>
    <x v="0"/>
    <x v="0"/>
    <x v="3"/>
    <n v="8"/>
    <n v="399"/>
    <x v="2"/>
    <x v="0"/>
    <x v="0"/>
  </r>
  <r>
    <s v="ORD1027"/>
    <x v="13"/>
    <x v="15"/>
    <x v="0"/>
    <x v="3"/>
    <x v="4"/>
    <n v="3"/>
    <n v="349"/>
    <x v="24"/>
    <x v="0"/>
    <x v="0"/>
  </r>
  <r>
    <s v="ORD1028"/>
    <x v="13"/>
    <x v="12"/>
    <x v="3"/>
    <x v="0"/>
    <x v="5"/>
    <n v="6"/>
    <n v="1299"/>
    <x v="25"/>
    <x v="0"/>
    <x v="0"/>
  </r>
  <r>
    <s v="ORD1029"/>
    <x v="14"/>
    <x v="16"/>
    <x v="2"/>
    <x v="3"/>
    <x v="3"/>
    <n v="7"/>
    <n v="1139.05"/>
    <x v="26"/>
    <x v="0"/>
    <x v="0"/>
  </r>
  <r>
    <s v="ORD1030"/>
    <x v="14"/>
    <x v="17"/>
    <x v="1"/>
    <x v="2"/>
    <x v="1"/>
    <n v="1"/>
    <n v="1799"/>
    <x v="27"/>
    <x v="0"/>
    <x v="0"/>
  </r>
  <r>
    <s v="ORD1031"/>
    <x v="14"/>
    <x v="4"/>
    <x v="2"/>
    <x v="2"/>
    <x v="2"/>
    <n v="7"/>
    <n v="3499"/>
    <x v="8"/>
    <x v="0"/>
    <x v="0"/>
  </r>
  <r>
    <s v="ORD1032"/>
    <x v="14"/>
    <x v="7"/>
    <x v="1"/>
    <x v="2"/>
    <x v="1"/>
    <n v="1"/>
    <n v="899"/>
    <x v="28"/>
    <x v="0"/>
    <x v="0"/>
  </r>
  <r>
    <s v="ORD1033"/>
    <x v="15"/>
    <x v="5"/>
    <x v="3"/>
    <x v="3"/>
    <x v="0"/>
    <n v="7"/>
    <n v="4499"/>
    <x v="29"/>
    <x v="0"/>
    <x v="0"/>
  </r>
  <r>
    <s v="ORD1034"/>
    <x v="16"/>
    <x v="3"/>
    <x v="1"/>
    <x v="0"/>
    <x v="0"/>
    <n v="2"/>
    <n v="2499"/>
    <x v="30"/>
    <x v="0"/>
    <x v="0"/>
  </r>
  <r>
    <s v="ORD1035"/>
    <x v="17"/>
    <x v="8"/>
    <x v="4"/>
    <x v="3"/>
    <x v="2"/>
    <n v="3"/>
    <n v="2199"/>
    <x v="9"/>
    <x v="0"/>
    <x v="0"/>
  </r>
  <r>
    <s v="ORD1036"/>
    <x v="17"/>
    <x v="6"/>
    <x v="2"/>
    <x v="0"/>
    <x v="1"/>
    <n v="2"/>
    <n v="799"/>
    <x v="31"/>
    <x v="0"/>
    <x v="0"/>
  </r>
  <r>
    <s v="ORD1037"/>
    <x v="17"/>
    <x v="7"/>
    <x v="1"/>
    <x v="0"/>
    <x v="2"/>
    <n v="1"/>
    <n v="899"/>
    <x v="28"/>
    <x v="0"/>
    <x v="0"/>
  </r>
  <r>
    <s v="ORD1038"/>
    <x v="17"/>
    <x v="6"/>
    <x v="2"/>
    <x v="3"/>
    <x v="3"/>
    <n v="5"/>
    <n v="799"/>
    <x v="32"/>
    <x v="0"/>
    <x v="0"/>
  </r>
  <r>
    <s v="ORD1039"/>
    <x v="18"/>
    <x v="15"/>
    <x v="0"/>
    <x v="0"/>
    <x v="1"/>
    <n v="1"/>
    <n v="314.10000000000002"/>
    <x v="33"/>
    <x v="0"/>
    <x v="0"/>
  </r>
  <r>
    <s v="ORD1040"/>
    <x v="18"/>
    <x v="9"/>
    <x v="1"/>
    <x v="0"/>
    <x v="0"/>
    <n v="5"/>
    <n v="5499"/>
    <x v="34"/>
    <x v="0"/>
    <x v="0"/>
  </r>
  <r>
    <s v="ORD1041"/>
    <x v="18"/>
    <x v="13"/>
    <x v="4"/>
    <x v="1"/>
    <x v="3"/>
    <n v="2"/>
    <n v="1499"/>
    <x v="35"/>
    <x v="0"/>
    <x v="0"/>
  </r>
  <r>
    <s v="ORD1042"/>
    <x v="19"/>
    <x v="4"/>
    <x v="2"/>
    <x v="3"/>
    <x v="2"/>
    <n v="5"/>
    <n v="3149.1"/>
    <x v="36"/>
    <x v="0"/>
    <x v="0"/>
  </r>
  <r>
    <s v="ORD1043"/>
    <x v="19"/>
    <x v="18"/>
    <x v="2"/>
    <x v="2"/>
    <x v="5"/>
    <n v="2"/>
    <n v="899"/>
    <x v="37"/>
    <x v="0"/>
    <x v="0"/>
  </r>
  <r>
    <s v="ORD1044"/>
    <x v="20"/>
    <x v="10"/>
    <x v="4"/>
    <x v="3"/>
    <x v="2"/>
    <n v="4"/>
    <n v="999"/>
    <x v="38"/>
    <x v="0"/>
    <x v="0"/>
  </r>
  <r>
    <s v="ORD1045"/>
    <x v="20"/>
    <x v="7"/>
    <x v="1"/>
    <x v="3"/>
    <x v="5"/>
    <n v="1"/>
    <n v="899"/>
    <x v="28"/>
    <x v="0"/>
    <x v="0"/>
  </r>
  <r>
    <s v="ORD1046"/>
    <x v="21"/>
    <x v="13"/>
    <x v="4"/>
    <x v="2"/>
    <x v="3"/>
    <n v="8"/>
    <n v="1499"/>
    <x v="39"/>
    <x v="0"/>
    <x v="0"/>
  </r>
  <r>
    <s v="ORD1047"/>
    <x v="21"/>
    <x v="0"/>
    <x v="0"/>
    <x v="3"/>
    <x v="3"/>
    <n v="4"/>
    <n v="299"/>
    <x v="0"/>
    <x v="0"/>
    <x v="0"/>
  </r>
  <r>
    <s v="ORD1048"/>
    <x v="22"/>
    <x v="12"/>
    <x v="3"/>
    <x v="2"/>
    <x v="4"/>
    <n v="1"/>
    <n v="1299"/>
    <x v="40"/>
    <x v="0"/>
    <x v="0"/>
  </r>
  <r>
    <s v="ORD1049"/>
    <x v="22"/>
    <x v="10"/>
    <x v="4"/>
    <x v="0"/>
    <x v="0"/>
    <n v="3"/>
    <n v="999"/>
    <x v="41"/>
    <x v="0"/>
    <x v="0"/>
  </r>
  <r>
    <s v="ORD1050"/>
    <x v="22"/>
    <x v="11"/>
    <x v="3"/>
    <x v="0"/>
    <x v="1"/>
    <n v="6"/>
    <n v="3799.05"/>
    <x v="42"/>
    <x v="0"/>
    <x v="0"/>
  </r>
  <r>
    <s v="ORD1051"/>
    <x v="22"/>
    <x v="14"/>
    <x v="4"/>
    <x v="0"/>
    <x v="4"/>
    <n v="2"/>
    <n v="1799"/>
    <x v="43"/>
    <x v="0"/>
    <x v="0"/>
  </r>
  <r>
    <s v="ORD1052"/>
    <x v="22"/>
    <x v="17"/>
    <x v="1"/>
    <x v="2"/>
    <x v="2"/>
    <n v="6"/>
    <n v="1709.05"/>
    <x v="44"/>
    <x v="0"/>
    <x v="0"/>
  </r>
  <r>
    <s v="ORD1053"/>
    <x v="23"/>
    <x v="8"/>
    <x v="4"/>
    <x v="3"/>
    <x v="0"/>
    <n v="6"/>
    <n v="2199"/>
    <x v="45"/>
    <x v="0"/>
    <x v="0"/>
  </r>
  <r>
    <s v="ORD1054"/>
    <x v="24"/>
    <x v="5"/>
    <x v="3"/>
    <x v="1"/>
    <x v="5"/>
    <n v="3"/>
    <n v="4499"/>
    <x v="46"/>
    <x v="0"/>
    <x v="0"/>
  </r>
  <r>
    <s v="ORD1055"/>
    <x v="24"/>
    <x v="4"/>
    <x v="2"/>
    <x v="0"/>
    <x v="0"/>
    <n v="4"/>
    <n v="3499"/>
    <x v="47"/>
    <x v="0"/>
    <x v="0"/>
  </r>
  <r>
    <s v="ORD1056"/>
    <x v="24"/>
    <x v="1"/>
    <x v="1"/>
    <x v="1"/>
    <x v="3"/>
    <n v="4"/>
    <n v="1799.1"/>
    <x v="48"/>
    <x v="0"/>
    <x v="0"/>
  </r>
  <r>
    <s v="ORD1057"/>
    <x v="24"/>
    <x v="17"/>
    <x v="1"/>
    <x v="0"/>
    <x v="1"/>
    <n v="4"/>
    <n v="1619.1"/>
    <x v="49"/>
    <x v="0"/>
    <x v="0"/>
  </r>
  <r>
    <s v="ORD1058"/>
    <x v="25"/>
    <x v="15"/>
    <x v="0"/>
    <x v="2"/>
    <x v="4"/>
    <n v="5"/>
    <n v="331.55"/>
    <x v="50"/>
    <x v="0"/>
    <x v="0"/>
  </r>
  <r>
    <s v="ORD1059"/>
    <x v="25"/>
    <x v="17"/>
    <x v="1"/>
    <x v="3"/>
    <x v="4"/>
    <n v="3"/>
    <n v="1799"/>
    <x v="51"/>
    <x v="0"/>
    <x v="0"/>
  </r>
  <r>
    <s v="ORD1060"/>
    <x v="25"/>
    <x v="17"/>
    <x v="1"/>
    <x v="1"/>
    <x v="4"/>
    <n v="7"/>
    <n v="1799"/>
    <x v="52"/>
    <x v="0"/>
    <x v="0"/>
  </r>
  <r>
    <s v="ORD1061"/>
    <x v="25"/>
    <x v="11"/>
    <x v="3"/>
    <x v="2"/>
    <x v="5"/>
    <n v="4"/>
    <n v="3599.1"/>
    <x v="53"/>
    <x v="0"/>
    <x v="0"/>
  </r>
  <r>
    <s v="ORD1062"/>
    <x v="26"/>
    <x v="14"/>
    <x v="4"/>
    <x v="3"/>
    <x v="4"/>
    <n v="3"/>
    <n v="1799"/>
    <x v="51"/>
    <x v="0"/>
    <x v="0"/>
  </r>
  <r>
    <s v="ORD1063"/>
    <x v="27"/>
    <x v="19"/>
    <x v="3"/>
    <x v="2"/>
    <x v="3"/>
    <n v="3"/>
    <n v="3299"/>
    <x v="54"/>
    <x v="0"/>
    <x v="0"/>
  </r>
  <r>
    <s v="ORD1064"/>
    <x v="27"/>
    <x v="10"/>
    <x v="4"/>
    <x v="1"/>
    <x v="4"/>
    <n v="4"/>
    <n v="899.1"/>
    <x v="55"/>
    <x v="0"/>
    <x v="0"/>
  </r>
  <r>
    <s v="ORD1065"/>
    <x v="28"/>
    <x v="12"/>
    <x v="3"/>
    <x v="1"/>
    <x v="1"/>
    <n v="6"/>
    <n v="1234.05"/>
    <x v="56"/>
    <x v="1"/>
    <x v="0"/>
  </r>
  <r>
    <s v="ORD1066"/>
    <x v="29"/>
    <x v="3"/>
    <x v="1"/>
    <x v="1"/>
    <x v="0"/>
    <n v="5"/>
    <n v="2374.0500000000002"/>
    <x v="57"/>
    <x v="1"/>
    <x v="0"/>
  </r>
  <r>
    <s v="ORD1067"/>
    <x v="30"/>
    <x v="15"/>
    <x v="0"/>
    <x v="1"/>
    <x v="2"/>
    <n v="3"/>
    <n v="349"/>
    <x v="24"/>
    <x v="1"/>
    <x v="0"/>
  </r>
  <r>
    <s v="ORD1068"/>
    <x v="30"/>
    <x v="16"/>
    <x v="2"/>
    <x v="2"/>
    <x v="3"/>
    <n v="1"/>
    <n v="1199"/>
    <x v="58"/>
    <x v="1"/>
    <x v="0"/>
  </r>
  <r>
    <s v="ORD1069"/>
    <x v="30"/>
    <x v="8"/>
    <x v="4"/>
    <x v="1"/>
    <x v="5"/>
    <n v="5"/>
    <n v="2199"/>
    <x v="59"/>
    <x v="1"/>
    <x v="0"/>
  </r>
  <r>
    <s v="ORD1070"/>
    <x v="30"/>
    <x v="3"/>
    <x v="1"/>
    <x v="3"/>
    <x v="2"/>
    <n v="4"/>
    <n v="2499"/>
    <x v="60"/>
    <x v="1"/>
    <x v="0"/>
  </r>
  <r>
    <s v="ORD1071"/>
    <x v="30"/>
    <x v="19"/>
    <x v="3"/>
    <x v="2"/>
    <x v="0"/>
    <n v="4"/>
    <n v="3299"/>
    <x v="61"/>
    <x v="1"/>
    <x v="0"/>
  </r>
  <r>
    <s v="ORD1072"/>
    <x v="31"/>
    <x v="5"/>
    <x v="3"/>
    <x v="3"/>
    <x v="3"/>
    <n v="3"/>
    <n v="4499"/>
    <x v="46"/>
    <x v="1"/>
    <x v="0"/>
  </r>
  <r>
    <s v="ORD1073"/>
    <x v="32"/>
    <x v="18"/>
    <x v="2"/>
    <x v="3"/>
    <x v="4"/>
    <n v="6"/>
    <n v="899"/>
    <x v="62"/>
    <x v="1"/>
    <x v="0"/>
  </r>
  <r>
    <s v="ORD1074"/>
    <x v="33"/>
    <x v="15"/>
    <x v="0"/>
    <x v="0"/>
    <x v="4"/>
    <n v="5"/>
    <n v="349"/>
    <x v="63"/>
    <x v="1"/>
    <x v="0"/>
  </r>
  <r>
    <s v="ORD1075"/>
    <x v="33"/>
    <x v="3"/>
    <x v="1"/>
    <x v="3"/>
    <x v="0"/>
    <n v="6"/>
    <n v="2499"/>
    <x v="3"/>
    <x v="1"/>
    <x v="0"/>
  </r>
  <r>
    <s v="ORD1076"/>
    <x v="33"/>
    <x v="18"/>
    <x v="2"/>
    <x v="0"/>
    <x v="1"/>
    <n v="2"/>
    <n v="899"/>
    <x v="37"/>
    <x v="1"/>
    <x v="0"/>
  </r>
  <r>
    <s v="ORD1077"/>
    <x v="33"/>
    <x v="0"/>
    <x v="0"/>
    <x v="3"/>
    <x v="2"/>
    <n v="3"/>
    <n v="299"/>
    <x v="64"/>
    <x v="1"/>
    <x v="0"/>
  </r>
  <r>
    <s v="ORD1078"/>
    <x v="33"/>
    <x v="18"/>
    <x v="2"/>
    <x v="1"/>
    <x v="3"/>
    <n v="3"/>
    <n v="854.05"/>
    <x v="65"/>
    <x v="1"/>
    <x v="0"/>
  </r>
  <r>
    <s v="ORD1079"/>
    <x v="34"/>
    <x v="15"/>
    <x v="0"/>
    <x v="0"/>
    <x v="0"/>
    <n v="8"/>
    <n v="349"/>
    <x v="66"/>
    <x v="1"/>
    <x v="0"/>
  </r>
  <r>
    <s v="ORD1080"/>
    <x v="34"/>
    <x v="6"/>
    <x v="2"/>
    <x v="1"/>
    <x v="3"/>
    <n v="5"/>
    <n v="799"/>
    <x v="32"/>
    <x v="1"/>
    <x v="0"/>
  </r>
  <r>
    <s v="ORD1081"/>
    <x v="35"/>
    <x v="16"/>
    <x v="2"/>
    <x v="2"/>
    <x v="1"/>
    <n v="7"/>
    <n v="1199"/>
    <x v="67"/>
    <x v="1"/>
    <x v="0"/>
  </r>
  <r>
    <s v="ORD1082"/>
    <x v="36"/>
    <x v="10"/>
    <x v="4"/>
    <x v="1"/>
    <x v="1"/>
    <n v="1"/>
    <n v="899.1"/>
    <x v="68"/>
    <x v="1"/>
    <x v="0"/>
  </r>
  <r>
    <s v="ORD1083"/>
    <x v="36"/>
    <x v="0"/>
    <x v="0"/>
    <x v="3"/>
    <x v="3"/>
    <n v="8"/>
    <n v="299"/>
    <x v="69"/>
    <x v="1"/>
    <x v="0"/>
  </r>
  <r>
    <s v="ORD1084"/>
    <x v="36"/>
    <x v="9"/>
    <x v="1"/>
    <x v="0"/>
    <x v="5"/>
    <n v="1"/>
    <n v="5499"/>
    <x v="70"/>
    <x v="1"/>
    <x v="0"/>
  </r>
  <r>
    <s v="ORD1085"/>
    <x v="37"/>
    <x v="16"/>
    <x v="2"/>
    <x v="1"/>
    <x v="2"/>
    <n v="5"/>
    <n v="1199"/>
    <x v="71"/>
    <x v="1"/>
    <x v="0"/>
  </r>
  <r>
    <s v="ORD1086"/>
    <x v="37"/>
    <x v="9"/>
    <x v="1"/>
    <x v="0"/>
    <x v="3"/>
    <n v="7"/>
    <n v="5499"/>
    <x v="72"/>
    <x v="1"/>
    <x v="0"/>
  </r>
  <r>
    <s v="ORD1087"/>
    <x v="38"/>
    <x v="11"/>
    <x v="3"/>
    <x v="0"/>
    <x v="0"/>
    <n v="4"/>
    <n v="3999"/>
    <x v="73"/>
    <x v="1"/>
    <x v="0"/>
  </r>
  <r>
    <s v="ORD1088"/>
    <x v="38"/>
    <x v="6"/>
    <x v="2"/>
    <x v="2"/>
    <x v="5"/>
    <n v="1"/>
    <n v="799"/>
    <x v="74"/>
    <x v="1"/>
    <x v="0"/>
  </r>
  <r>
    <s v="ORD1089"/>
    <x v="38"/>
    <x v="14"/>
    <x v="4"/>
    <x v="0"/>
    <x v="4"/>
    <n v="5"/>
    <n v="1799"/>
    <x v="75"/>
    <x v="1"/>
    <x v="0"/>
  </r>
  <r>
    <s v="ORD1090"/>
    <x v="39"/>
    <x v="16"/>
    <x v="2"/>
    <x v="2"/>
    <x v="4"/>
    <n v="2"/>
    <n v="1199"/>
    <x v="76"/>
    <x v="1"/>
    <x v="0"/>
  </r>
  <r>
    <s v="ORD1091"/>
    <x v="40"/>
    <x v="16"/>
    <x v="2"/>
    <x v="0"/>
    <x v="2"/>
    <n v="4"/>
    <n v="1199"/>
    <x v="77"/>
    <x v="1"/>
    <x v="0"/>
  </r>
  <r>
    <s v="ORD1092"/>
    <x v="40"/>
    <x v="14"/>
    <x v="4"/>
    <x v="0"/>
    <x v="5"/>
    <n v="6"/>
    <n v="1619.1"/>
    <x v="78"/>
    <x v="1"/>
    <x v="0"/>
  </r>
  <r>
    <s v="ORD1093"/>
    <x v="40"/>
    <x v="1"/>
    <x v="1"/>
    <x v="1"/>
    <x v="5"/>
    <n v="3"/>
    <n v="1999"/>
    <x v="79"/>
    <x v="1"/>
    <x v="0"/>
  </r>
  <r>
    <s v="ORD1094"/>
    <x v="41"/>
    <x v="12"/>
    <x v="3"/>
    <x v="1"/>
    <x v="4"/>
    <n v="4"/>
    <n v="1299"/>
    <x v="80"/>
    <x v="1"/>
    <x v="0"/>
  </r>
  <r>
    <s v="ORD1095"/>
    <x v="41"/>
    <x v="9"/>
    <x v="1"/>
    <x v="3"/>
    <x v="5"/>
    <n v="3"/>
    <n v="5499"/>
    <x v="12"/>
    <x v="1"/>
    <x v="0"/>
  </r>
  <r>
    <s v="ORD1096"/>
    <x v="41"/>
    <x v="1"/>
    <x v="1"/>
    <x v="3"/>
    <x v="3"/>
    <n v="6"/>
    <n v="1999"/>
    <x v="81"/>
    <x v="1"/>
    <x v="0"/>
  </r>
  <r>
    <s v="ORD1097"/>
    <x v="42"/>
    <x v="17"/>
    <x v="1"/>
    <x v="2"/>
    <x v="2"/>
    <n v="5"/>
    <n v="1799"/>
    <x v="75"/>
    <x v="1"/>
    <x v="0"/>
  </r>
  <r>
    <s v="ORD1098"/>
    <x v="43"/>
    <x v="6"/>
    <x v="2"/>
    <x v="0"/>
    <x v="1"/>
    <n v="3"/>
    <n v="799"/>
    <x v="20"/>
    <x v="1"/>
    <x v="0"/>
  </r>
  <r>
    <s v="ORD1099"/>
    <x v="44"/>
    <x v="4"/>
    <x v="2"/>
    <x v="1"/>
    <x v="2"/>
    <n v="3"/>
    <n v="3499"/>
    <x v="82"/>
    <x v="1"/>
    <x v="0"/>
  </r>
  <r>
    <s v="ORD1100"/>
    <x v="45"/>
    <x v="4"/>
    <x v="2"/>
    <x v="0"/>
    <x v="3"/>
    <n v="3"/>
    <n v="3499"/>
    <x v="82"/>
    <x v="1"/>
    <x v="0"/>
  </r>
  <r>
    <s v="ORD1101"/>
    <x v="46"/>
    <x v="18"/>
    <x v="2"/>
    <x v="3"/>
    <x v="4"/>
    <n v="5"/>
    <n v="899"/>
    <x v="11"/>
    <x v="1"/>
    <x v="0"/>
  </r>
  <r>
    <s v="ORD1102"/>
    <x v="47"/>
    <x v="10"/>
    <x v="4"/>
    <x v="0"/>
    <x v="4"/>
    <n v="8"/>
    <n v="999"/>
    <x v="83"/>
    <x v="1"/>
    <x v="0"/>
  </r>
  <r>
    <s v="ORD1103"/>
    <x v="47"/>
    <x v="7"/>
    <x v="1"/>
    <x v="0"/>
    <x v="1"/>
    <n v="3"/>
    <n v="899"/>
    <x v="84"/>
    <x v="1"/>
    <x v="0"/>
  </r>
  <r>
    <s v="ORD1104"/>
    <x v="48"/>
    <x v="10"/>
    <x v="4"/>
    <x v="2"/>
    <x v="1"/>
    <n v="4"/>
    <n v="999"/>
    <x v="38"/>
    <x v="1"/>
    <x v="0"/>
  </r>
  <r>
    <s v="ORD1105"/>
    <x v="48"/>
    <x v="8"/>
    <x v="4"/>
    <x v="1"/>
    <x v="4"/>
    <n v="1"/>
    <n v="2089.0500000000002"/>
    <x v="85"/>
    <x v="1"/>
    <x v="0"/>
  </r>
  <r>
    <s v="ORD1106"/>
    <x v="48"/>
    <x v="19"/>
    <x v="3"/>
    <x v="0"/>
    <x v="2"/>
    <n v="5"/>
    <n v="3299"/>
    <x v="86"/>
    <x v="1"/>
    <x v="0"/>
  </r>
  <r>
    <s v="ORD1107"/>
    <x v="48"/>
    <x v="17"/>
    <x v="1"/>
    <x v="3"/>
    <x v="0"/>
    <n v="3"/>
    <n v="1799"/>
    <x v="51"/>
    <x v="1"/>
    <x v="0"/>
  </r>
  <r>
    <s v="ORD1108"/>
    <x v="49"/>
    <x v="12"/>
    <x v="3"/>
    <x v="0"/>
    <x v="4"/>
    <n v="2"/>
    <n v="1299"/>
    <x v="87"/>
    <x v="1"/>
    <x v="0"/>
  </r>
  <r>
    <s v="ORD1109"/>
    <x v="50"/>
    <x v="13"/>
    <x v="4"/>
    <x v="3"/>
    <x v="0"/>
    <n v="2"/>
    <n v="1274.1500000000001"/>
    <x v="19"/>
    <x v="2"/>
    <x v="0"/>
  </r>
  <r>
    <s v="ORD1110"/>
    <x v="50"/>
    <x v="10"/>
    <x v="4"/>
    <x v="2"/>
    <x v="0"/>
    <n v="3"/>
    <n v="999"/>
    <x v="41"/>
    <x v="2"/>
    <x v="0"/>
  </r>
  <r>
    <s v="ORD1111"/>
    <x v="50"/>
    <x v="10"/>
    <x v="4"/>
    <x v="0"/>
    <x v="5"/>
    <n v="7"/>
    <n v="899.1"/>
    <x v="88"/>
    <x v="2"/>
    <x v="0"/>
  </r>
  <r>
    <s v="ORD1112"/>
    <x v="51"/>
    <x v="19"/>
    <x v="3"/>
    <x v="2"/>
    <x v="5"/>
    <n v="6"/>
    <n v="3299"/>
    <x v="89"/>
    <x v="2"/>
    <x v="0"/>
  </r>
  <r>
    <s v="ORD1113"/>
    <x v="51"/>
    <x v="7"/>
    <x v="1"/>
    <x v="3"/>
    <x v="2"/>
    <n v="3"/>
    <n v="899"/>
    <x v="84"/>
    <x v="2"/>
    <x v="0"/>
  </r>
  <r>
    <s v="ORD1114"/>
    <x v="51"/>
    <x v="10"/>
    <x v="4"/>
    <x v="0"/>
    <x v="4"/>
    <n v="5"/>
    <n v="999"/>
    <x v="90"/>
    <x v="2"/>
    <x v="0"/>
  </r>
  <r>
    <s v="ORD1115"/>
    <x v="52"/>
    <x v="14"/>
    <x v="4"/>
    <x v="1"/>
    <x v="4"/>
    <n v="6"/>
    <n v="1799"/>
    <x v="91"/>
    <x v="2"/>
    <x v="0"/>
  </r>
  <r>
    <s v="ORD1116"/>
    <x v="52"/>
    <x v="5"/>
    <x v="3"/>
    <x v="1"/>
    <x v="3"/>
    <n v="3"/>
    <n v="4499"/>
    <x v="46"/>
    <x v="2"/>
    <x v="0"/>
  </r>
  <r>
    <s v="ORD1117"/>
    <x v="53"/>
    <x v="14"/>
    <x v="4"/>
    <x v="2"/>
    <x v="5"/>
    <n v="6"/>
    <n v="1709.05"/>
    <x v="44"/>
    <x v="2"/>
    <x v="0"/>
  </r>
  <r>
    <s v="ORD1118"/>
    <x v="54"/>
    <x v="11"/>
    <x v="3"/>
    <x v="2"/>
    <x v="0"/>
    <n v="1"/>
    <n v="3999"/>
    <x v="92"/>
    <x v="2"/>
    <x v="0"/>
  </r>
  <r>
    <s v="ORD1119"/>
    <x v="55"/>
    <x v="3"/>
    <x v="1"/>
    <x v="0"/>
    <x v="4"/>
    <n v="1"/>
    <n v="2499"/>
    <x v="93"/>
    <x v="2"/>
    <x v="0"/>
  </r>
  <r>
    <s v="ORD1120"/>
    <x v="56"/>
    <x v="16"/>
    <x v="2"/>
    <x v="2"/>
    <x v="0"/>
    <n v="3"/>
    <n v="1079.0999999999999"/>
    <x v="94"/>
    <x v="2"/>
    <x v="0"/>
  </r>
  <r>
    <s v="ORD1121"/>
    <x v="57"/>
    <x v="3"/>
    <x v="1"/>
    <x v="2"/>
    <x v="3"/>
    <n v="3"/>
    <n v="2499"/>
    <x v="95"/>
    <x v="2"/>
    <x v="0"/>
  </r>
  <r>
    <s v="ORD1122"/>
    <x v="57"/>
    <x v="13"/>
    <x v="4"/>
    <x v="0"/>
    <x v="4"/>
    <n v="3"/>
    <n v="1499"/>
    <x v="96"/>
    <x v="2"/>
    <x v="0"/>
  </r>
  <r>
    <s v="ORD1123"/>
    <x v="58"/>
    <x v="18"/>
    <x v="2"/>
    <x v="2"/>
    <x v="0"/>
    <n v="5"/>
    <n v="899"/>
    <x v="11"/>
    <x v="2"/>
    <x v="0"/>
  </r>
  <r>
    <s v="ORD1124"/>
    <x v="58"/>
    <x v="11"/>
    <x v="3"/>
    <x v="3"/>
    <x v="4"/>
    <n v="1"/>
    <n v="3999"/>
    <x v="92"/>
    <x v="2"/>
    <x v="0"/>
  </r>
  <r>
    <s v="ORD1125"/>
    <x v="58"/>
    <x v="11"/>
    <x v="3"/>
    <x v="2"/>
    <x v="0"/>
    <n v="5"/>
    <n v="3999"/>
    <x v="97"/>
    <x v="2"/>
    <x v="0"/>
  </r>
  <r>
    <s v="ORD1126"/>
    <x v="59"/>
    <x v="13"/>
    <x v="4"/>
    <x v="0"/>
    <x v="5"/>
    <n v="4"/>
    <n v="1499"/>
    <x v="98"/>
    <x v="2"/>
    <x v="0"/>
  </r>
  <r>
    <s v="ORD1127"/>
    <x v="60"/>
    <x v="16"/>
    <x v="2"/>
    <x v="0"/>
    <x v="3"/>
    <n v="5"/>
    <n v="1139.05"/>
    <x v="99"/>
    <x v="2"/>
    <x v="0"/>
  </r>
  <r>
    <s v="ORD1128"/>
    <x v="60"/>
    <x v="16"/>
    <x v="2"/>
    <x v="0"/>
    <x v="5"/>
    <n v="3"/>
    <n v="1199"/>
    <x v="100"/>
    <x v="2"/>
    <x v="0"/>
  </r>
  <r>
    <s v="ORD1129"/>
    <x v="60"/>
    <x v="19"/>
    <x v="3"/>
    <x v="3"/>
    <x v="3"/>
    <n v="4"/>
    <n v="3134.05"/>
    <x v="101"/>
    <x v="2"/>
    <x v="0"/>
  </r>
  <r>
    <s v="ORD1130"/>
    <x v="61"/>
    <x v="11"/>
    <x v="3"/>
    <x v="1"/>
    <x v="3"/>
    <n v="3"/>
    <n v="3799.05"/>
    <x v="102"/>
    <x v="2"/>
    <x v="0"/>
  </r>
  <r>
    <s v="ORD1131"/>
    <x v="61"/>
    <x v="8"/>
    <x v="4"/>
    <x v="0"/>
    <x v="0"/>
    <n v="8"/>
    <n v="1979.1"/>
    <x v="103"/>
    <x v="2"/>
    <x v="0"/>
  </r>
  <r>
    <s v="ORD1132"/>
    <x v="62"/>
    <x v="12"/>
    <x v="3"/>
    <x v="0"/>
    <x v="4"/>
    <n v="1"/>
    <n v="1104.1500000000001"/>
    <x v="104"/>
    <x v="2"/>
    <x v="0"/>
  </r>
  <r>
    <s v="ORD1133"/>
    <x v="62"/>
    <x v="11"/>
    <x v="3"/>
    <x v="3"/>
    <x v="1"/>
    <n v="6"/>
    <n v="3799.05"/>
    <x v="42"/>
    <x v="2"/>
    <x v="0"/>
  </r>
  <r>
    <s v="ORD1134"/>
    <x v="63"/>
    <x v="18"/>
    <x v="2"/>
    <x v="3"/>
    <x v="1"/>
    <n v="7"/>
    <n v="899"/>
    <x v="105"/>
    <x v="2"/>
    <x v="0"/>
  </r>
  <r>
    <s v="ORD1135"/>
    <x v="63"/>
    <x v="10"/>
    <x v="4"/>
    <x v="2"/>
    <x v="0"/>
    <n v="1"/>
    <n v="999"/>
    <x v="106"/>
    <x v="2"/>
    <x v="0"/>
  </r>
  <r>
    <s v="ORD1136"/>
    <x v="63"/>
    <x v="4"/>
    <x v="2"/>
    <x v="3"/>
    <x v="1"/>
    <n v="3"/>
    <n v="3499"/>
    <x v="82"/>
    <x v="2"/>
    <x v="0"/>
  </r>
  <r>
    <s v="ORD1137"/>
    <x v="64"/>
    <x v="14"/>
    <x v="4"/>
    <x v="3"/>
    <x v="2"/>
    <n v="1"/>
    <n v="1799"/>
    <x v="27"/>
    <x v="2"/>
    <x v="0"/>
  </r>
  <r>
    <s v="ORD1138"/>
    <x v="64"/>
    <x v="9"/>
    <x v="1"/>
    <x v="0"/>
    <x v="5"/>
    <n v="1"/>
    <n v="5499"/>
    <x v="70"/>
    <x v="2"/>
    <x v="0"/>
  </r>
  <r>
    <s v="ORD1139"/>
    <x v="64"/>
    <x v="14"/>
    <x v="4"/>
    <x v="0"/>
    <x v="5"/>
    <n v="1"/>
    <n v="1799"/>
    <x v="27"/>
    <x v="2"/>
    <x v="0"/>
  </r>
  <r>
    <s v="ORD1140"/>
    <x v="65"/>
    <x v="1"/>
    <x v="1"/>
    <x v="3"/>
    <x v="2"/>
    <n v="4"/>
    <n v="1699.15"/>
    <x v="107"/>
    <x v="2"/>
    <x v="0"/>
  </r>
  <r>
    <s v="ORD1141"/>
    <x v="65"/>
    <x v="19"/>
    <x v="3"/>
    <x v="2"/>
    <x v="5"/>
    <n v="4"/>
    <n v="3299"/>
    <x v="61"/>
    <x v="2"/>
    <x v="0"/>
  </r>
  <r>
    <s v="ORD1142"/>
    <x v="65"/>
    <x v="0"/>
    <x v="0"/>
    <x v="2"/>
    <x v="2"/>
    <n v="1"/>
    <n v="299"/>
    <x v="108"/>
    <x v="2"/>
    <x v="0"/>
  </r>
  <r>
    <s v="ORD1143"/>
    <x v="66"/>
    <x v="2"/>
    <x v="0"/>
    <x v="0"/>
    <x v="2"/>
    <n v="5"/>
    <n v="399"/>
    <x v="109"/>
    <x v="2"/>
    <x v="0"/>
  </r>
  <r>
    <s v="ORD1144"/>
    <x v="66"/>
    <x v="15"/>
    <x v="0"/>
    <x v="2"/>
    <x v="0"/>
    <n v="4"/>
    <n v="349"/>
    <x v="110"/>
    <x v="2"/>
    <x v="0"/>
  </r>
  <r>
    <s v="ORD1145"/>
    <x v="67"/>
    <x v="4"/>
    <x v="2"/>
    <x v="2"/>
    <x v="1"/>
    <n v="7"/>
    <n v="3499"/>
    <x v="8"/>
    <x v="2"/>
    <x v="0"/>
  </r>
  <r>
    <s v="ORD1146"/>
    <x v="67"/>
    <x v="10"/>
    <x v="4"/>
    <x v="3"/>
    <x v="2"/>
    <n v="4"/>
    <n v="999"/>
    <x v="38"/>
    <x v="2"/>
    <x v="0"/>
  </r>
  <r>
    <s v="ORD1147"/>
    <x v="68"/>
    <x v="17"/>
    <x v="1"/>
    <x v="3"/>
    <x v="0"/>
    <n v="7"/>
    <n v="1799"/>
    <x v="52"/>
    <x v="2"/>
    <x v="0"/>
  </r>
  <r>
    <s v="ORD1148"/>
    <x v="68"/>
    <x v="2"/>
    <x v="0"/>
    <x v="3"/>
    <x v="2"/>
    <n v="3"/>
    <n v="399"/>
    <x v="111"/>
    <x v="2"/>
    <x v="0"/>
  </r>
  <r>
    <s v="ORD1149"/>
    <x v="69"/>
    <x v="13"/>
    <x v="4"/>
    <x v="2"/>
    <x v="1"/>
    <n v="2"/>
    <n v="1499"/>
    <x v="35"/>
    <x v="2"/>
    <x v="0"/>
  </r>
  <r>
    <s v="ORD1150"/>
    <x v="69"/>
    <x v="9"/>
    <x v="1"/>
    <x v="2"/>
    <x v="5"/>
    <n v="3"/>
    <n v="5499"/>
    <x v="12"/>
    <x v="2"/>
    <x v="0"/>
  </r>
  <r>
    <s v="ORD1151"/>
    <x v="69"/>
    <x v="17"/>
    <x v="1"/>
    <x v="2"/>
    <x v="3"/>
    <n v="2"/>
    <n v="1799"/>
    <x v="43"/>
    <x v="2"/>
    <x v="0"/>
  </r>
  <r>
    <s v="ORD1152"/>
    <x v="70"/>
    <x v="4"/>
    <x v="2"/>
    <x v="2"/>
    <x v="2"/>
    <n v="2"/>
    <n v="3499"/>
    <x v="112"/>
    <x v="2"/>
    <x v="0"/>
  </r>
  <r>
    <s v="ORD1153"/>
    <x v="70"/>
    <x v="7"/>
    <x v="1"/>
    <x v="2"/>
    <x v="4"/>
    <n v="3"/>
    <n v="899"/>
    <x v="84"/>
    <x v="2"/>
    <x v="0"/>
  </r>
  <r>
    <s v="ORD1154"/>
    <x v="70"/>
    <x v="17"/>
    <x v="1"/>
    <x v="0"/>
    <x v="2"/>
    <n v="7"/>
    <n v="1799"/>
    <x v="52"/>
    <x v="2"/>
    <x v="0"/>
  </r>
  <r>
    <s v="ORD1155"/>
    <x v="71"/>
    <x v="17"/>
    <x v="1"/>
    <x v="2"/>
    <x v="2"/>
    <n v="3"/>
    <n v="1799"/>
    <x v="51"/>
    <x v="3"/>
    <x v="0"/>
  </r>
  <r>
    <s v="ORD1156"/>
    <x v="72"/>
    <x v="4"/>
    <x v="2"/>
    <x v="2"/>
    <x v="3"/>
    <n v="2"/>
    <n v="3499"/>
    <x v="112"/>
    <x v="3"/>
    <x v="0"/>
  </r>
  <r>
    <s v="ORD1157"/>
    <x v="72"/>
    <x v="12"/>
    <x v="3"/>
    <x v="0"/>
    <x v="3"/>
    <n v="4"/>
    <n v="1169.0999999999999"/>
    <x v="113"/>
    <x v="3"/>
    <x v="0"/>
  </r>
  <r>
    <s v="ORD1158"/>
    <x v="72"/>
    <x v="14"/>
    <x v="4"/>
    <x v="0"/>
    <x v="2"/>
    <n v="3"/>
    <n v="1799"/>
    <x v="51"/>
    <x v="3"/>
    <x v="0"/>
  </r>
  <r>
    <s v="ORD1159"/>
    <x v="72"/>
    <x v="10"/>
    <x v="4"/>
    <x v="3"/>
    <x v="1"/>
    <n v="1"/>
    <n v="999"/>
    <x v="106"/>
    <x v="3"/>
    <x v="0"/>
  </r>
  <r>
    <s v="ORD1160"/>
    <x v="73"/>
    <x v="19"/>
    <x v="3"/>
    <x v="3"/>
    <x v="1"/>
    <n v="2"/>
    <n v="3299"/>
    <x v="114"/>
    <x v="3"/>
    <x v="0"/>
  </r>
  <r>
    <s v="ORD1161"/>
    <x v="74"/>
    <x v="1"/>
    <x v="1"/>
    <x v="2"/>
    <x v="2"/>
    <n v="3"/>
    <n v="1999"/>
    <x v="79"/>
    <x v="3"/>
    <x v="0"/>
  </r>
  <r>
    <s v="ORD1162"/>
    <x v="74"/>
    <x v="18"/>
    <x v="2"/>
    <x v="2"/>
    <x v="4"/>
    <n v="5"/>
    <n v="899"/>
    <x v="11"/>
    <x v="3"/>
    <x v="0"/>
  </r>
  <r>
    <s v="ORD1163"/>
    <x v="74"/>
    <x v="4"/>
    <x v="2"/>
    <x v="3"/>
    <x v="2"/>
    <n v="3"/>
    <n v="3149.1"/>
    <x v="115"/>
    <x v="3"/>
    <x v="0"/>
  </r>
  <r>
    <s v="ORD1164"/>
    <x v="74"/>
    <x v="9"/>
    <x v="1"/>
    <x v="1"/>
    <x v="4"/>
    <n v="8"/>
    <n v="5499"/>
    <x v="116"/>
    <x v="3"/>
    <x v="0"/>
  </r>
  <r>
    <s v="ORD1165"/>
    <x v="74"/>
    <x v="7"/>
    <x v="1"/>
    <x v="2"/>
    <x v="4"/>
    <n v="8"/>
    <n v="899"/>
    <x v="117"/>
    <x v="3"/>
    <x v="0"/>
  </r>
  <r>
    <s v="ORD1166"/>
    <x v="75"/>
    <x v="7"/>
    <x v="1"/>
    <x v="3"/>
    <x v="2"/>
    <n v="4"/>
    <n v="854.05"/>
    <x v="118"/>
    <x v="3"/>
    <x v="0"/>
  </r>
  <r>
    <s v="ORD1167"/>
    <x v="76"/>
    <x v="19"/>
    <x v="3"/>
    <x v="2"/>
    <x v="5"/>
    <n v="1"/>
    <n v="3299"/>
    <x v="119"/>
    <x v="3"/>
    <x v="0"/>
  </r>
  <r>
    <s v="ORD1168"/>
    <x v="76"/>
    <x v="2"/>
    <x v="0"/>
    <x v="0"/>
    <x v="5"/>
    <n v="2"/>
    <n v="399"/>
    <x v="120"/>
    <x v="3"/>
    <x v="0"/>
  </r>
  <r>
    <s v="ORD1169"/>
    <x v="76"/>
    <x v="13"/>
    <x v="4"/>
    <x v="3"/>
    <x v="4"/>
    <n v="7"/>
    <n v="1424.05"/>
    <x v="121"/>
    <x v="3"/>
    <x v="0"/>
  </r>
  <r>
    <s v="ORD1170"/>
    <x v="77"/>
    <x v="2"/>
    <x v="0"/>
    <x v="3"/>
    <x v="1"/>
    <n v="2"/>
    <n v="399"/>
    <x v="120"/>
    <x v="3"/>
    <x v="0"/>
  </r>
  <r>
    <s v="ORD1171"/>
    <x v="78"/>
    <x v="13"/>
    <x v="4"/>
    <x v="1"/>
    <x v="0"/>
    <n v="3"/>
    <n v="1274.1500000000001"/>
    <x v="122"/>
    <x v="3"/>
    <x v="0"/>
  </r>
  <r>
    <s v="ORD1172"/>
    <x v="78"/>
    <x v="2"/>
    <x v="0"/>
    <x v="1"/>
    <x v="4"/>
    <n v="3"/>
    <n v="399"/>
    <x v="111"/>
    <x v="3"/>
    <x v="0"/>
  </r>
  <r>
    <s v="ORD1173"/>
    <x v="78"/>
    <x v="12"/>
    <x v="3"/>
    <x v="3"/>
    <x v="5"/>
    <n v="3"/>
    <n v="1299"/>
    <x v="123"/>
    <x v="3"/>
    <x v="0"/>
  </r>
  <r>
    <s v="ORD1174"/>
    <x v="79"/>
    <x v="10"/>
    <x v="4"/>
    <x v="1"/>
    <x v="4"/>
    <n v="1"/>
    <n v="949.05"/>
    <x v="124"/>
    <x v="3"/>
    <x v="0"/>
  </r>
  <r>
    <s v="ORD1175"/>
    <x v="79"/>
    <x v="9"/>
    <x v="1"/>
    <x v="2"/>
    <x v="2"/>
    <n v="9"/>
    <n v="5499"/>
    <x v="125"/>
    <x v="3"/>
    <x v="0"/>
  </r>
  <r>
    <s v="ORD1176"/>
    <x v="80"/>
    <x v="7"/>
    <x v="1"/>
    <x v="0"/>
    <x v="1"/>
    <n v="4"/>
    <n v="809.1"/>
    <x v="126"/>
    <x v="3"/>
    <x v="0"/>
  </r>
  <r>
    <s v="ORD1177"/>
    <x v="80"/>
    <x v="11"/>
    <x v="3"/>
    <x v="2"/>
    <x v="2"/>
    <n v="2"/>
    <n v="3999"/>
    <x v="127"/>
    <x v="3"/>
    <x v="0"/>
  </r>
  <r>
    <s v="ORD1178"/>
    <x v="80"/>
    <x v="16"/>
    <x v="2"/>
    <x v="2"/>
    <x v="2"/>
    <n v="2"/>
    <n v="1079.0999999999999"/>
    <x v="128"/>
    <x v="3"/>
    <x v="0"/>
  </r>
  <r>
    <s v="ORD1179"/>
    <x v="80"/>
    <x v="4"/>
    <x v="2"/>
    <x v="1"/>
    <x v="0"/>
    <n v="7"/>
    <n v="3149.1"/>
    <x v="129"/>
    <x v="3"/>
    <x v="0"/>
  </r>
  <r>
    <s v="ORD1180"/>
    <x v="80"/>
    <x v="8"/>
    <x v="4"/>
    <x v="2"/>
    <x v="0"/>
    <n v="3"/>
    <n v="2199"/>
    <x v="9"/>
    <x v="3"/>
    <x v="0"/>
  </r>
  <r>
    <s v="ORD1181"/>
    <x v="81"/>
    <x v="0"/>
    <x v="0"/>
    <x v="1"/>
    <x v="0"/>
    <n v="5"/>
    <n v="299"/>
    <x v="130"/>
    <x v="3"/>
    <x v="0"/>
  </r>
  <r>
    <s v="ORD1182"/>
    <x v="81"/>
    <x v="6"/>
    <x v="2"/>
    <x v="3"/>
    <x v="0"/>
    <n v="3"/>
    <n v="799"/>
    <x v="20"/>
    <x v="3"/>
    <x v="0"/>
  </r>
  <r>
    <s v="ORD1183"/>
    <x v="81"/>
    <x v="19"/>
    <x v="3"/>
    <x v="3"/>
    <x v="5"/>
    <n v="6"/>
    <n v="3299"/>
    <x v="89"/>
    <x v="3"/>
    <x v="0"/>
  </r>
  <r>
    <s v="ORD1184"/>
    <x v="82"/>
    <x v="1"/>
    <x v="1"/>
    <x v="0"/>
    <x v="5"/>
    <n v="1"/>
    <n v="1999"/>
    <x v="131"/>
    <x v="3"/>
    <x v="0"/>
  </r>
  <r>
    <s v="ORD1185"/>
    <x v="82"/>
    <x v="14"/>
    <x v="4"/>
    <x v="1"/>
    <x v="5"/>
    <n v="3"/>
    <n v="1799"/>
    <x v="51"/>
    <x v="3"/>
    <x v="0"/>
  </r>
  <r>
    <s v="ORD1186"/>
    <x v="82"/>
    <x v="5"/>
    <x v="3"/>
    <x v="3"/>
    <x v="5"/>
    <n v="7"/>
    <n v="4499"/>
    <x v="29"/>
    <x v="3"/>
    <x v="0"/>
  </r>
  <r>
    <s v="ORD1187"/>
    <x v="82"/>
    <x v="2"/>
    <x v="0"/>
    <x v="3"/>
    <x v="3"/>
    <n v="3"/>
    <n v="399"/>
    <x v="111"/>
    <x v="3"/>
    <x v="0"/>
  </r>
  <r>
    <s v="ORD1188"/>
    <x v="82"/>
    <x v="4"/>
    <x v="2"/>
    <x v="1"/>
    <x v="4"/>
    <n v="6"/>
    <n v="3499"/>
    <x v="4"/>
    <x v="3"/>
    <x v="0"/>
  </r>
  <r>
    <s v="ORD1189"/>
    <x v="83"/>
    <x v="11"/>
    <x v="3"/>
    <x v="1"/>
    <x v="2"/>
    <n v="8"/>
    <n v="3799.05"/>
    <x v="132"/>
    <x v="3"/>
    <x v="0"/>
  </r>
  <r>
    <s v="ORD1190"/>
    <x v="84"/>
    <x v="16"/>
    <x v="2"/>
    <x v="2"/>
    <x v="4"/>
    <n v="1"/>
    <n v="1079.0999999999999"/>
    <x v="133"/>
    <x v="3"/>
    <x v="0"/>
  </r>
  <r>
    <s v="ORD1191"/>
    <x v="84"/>
    <x v="13"/>
    <x v="4"/>
    <x v="2"/>
    <x v="0"/>
    <n v="5"/>
    <n v="1499"/>
    <x v="134"/>
    <x v="3"/>
    <x v="0"/>
  </r>
  <r>
    <s v="ORD1192"/>
    <x v="85"/>
    <x v="18"/>
    <x v="2"/>
    <x v="3"/>
    <x v="3"/>
    <n v="6"/>
    <n v="809.1"/>
    <x v="135"/>
    <x v="3"/>
    <x v="0"/>
  </r>
  <r>
    <s v="ORD1193"/>
    <x v="85"/>
    <x v="8"/>
    <x v="4"/>
    <x v="0"/>
    <x v="5"/>
    <n v="2"/>
    <n v="2199"/>
    <x v="136"/>
    <x v="3"/>
    <x v="0"/>
  </r>
  <r>
    <s v="ORD1194"/>
    <x v="85"/>
    <x v="12"/>
    <x v="3"/>
    <x v="2"/>
    <x v="3"/>
    <n v="1"/>
    <n v="1299"/>
    <x v="40"/>
    <x v="3"/>
    <x v="0"/>
  </r>
  <r>
    <s v="ORD1195"/>
    <x v="86"/>
    <x v="1"/>
    <x v="1"/>
    <x v="0"/>
    <x v="1"/>
    <n v="7"/>
    <n v="1799.1"/>
    <x v="137"/>
    <x v="3"/>
    <x v="0"/>
  </r>
  <r>
    <s v="ORD1196"/>
    <x v="86"/>
    <x v="13"/>
    <x v="4"/>
    <x v="3"/>
    <x v="1"/>
    <n v="5"/>
    <n v="1274.1500000000001"/>
    <x v="138"/>
    <x v="3"/>
    <x v="0"/>
  </r>
  <r>
    <s v="ORD1197"/>
    <x v="86"/>
    <x v="3"/>
    <x v="1"/>
    <x v="0"/>
    <x v="5"/>
    <n v="7"/>
    <n v="2499"/>
    <x v="139"/>
    <x v="3"/>
    <x v="0"/>
  </r>
  <r>
    <s v="ORD1198"/>
    <x v="86"/>
    <x v="16"/>
    <x v="2"/>
    <x v="3"/>
    <x v="0"/>
    <n v="3"/>
    <n v="1199"/>
    <x v="100"/>
    <x v="3"/>
    <x v="0"/>
  </r>
  <r>
    <s v="ORD1199"/>
    <x v="87"/>
    <x v="11"/>
    <x v="3"/>
    <x v="1"/>
    <x v="4"/>
    <n v="7"/>
    <n v="3999"/>
    <x v="140"/>
    <x v="3"/>
    <x v="0"/>
  </r>
  <r>
    <s v="ORD1200"/>
    <x v="88"/>
    <x v="4"/>
    <x v="2"/>
    <x v="3"/>
    <x v="3"/>
    <n v="6"/>
    <n v="3499"/>
    <x v="4"/>
    <x v="3"/>
    <x v="0"/>
  </r>
  <r>
    <s v="ORD1201"/>
    <x v="88"/>
    <x v="14"/>
    <x v="4"/>
    <x v="0"/>
    <x v="1"/>
    <n v="4"/>
    <n v="1799"/>
    <x v="141"/>
    <x v="3"/>
    <x v="0"/>
  </r>
  <r>
    <s v="ORD1202"/>
    <x v="88"/>
    <x v="7"/>
    <x v="1"/>
    <x v="2"/>
    <x v="1"/>
    <n v="7"/>
    <n v="899"/>
    <x v="105"/>
    <x v="3"/>
    <x v="0"/>
  </r>
  <r>
    <s v="ORD1203"/>
    <x v="89"/>
    <x v="1"/>
    <x v="1"/>
    <x v="1"/>
    <x v="5"/>
    <n v="6"/>
    <n v="1999"/>
    <x v="81"/>
    <x v="3"/>
    <x v="0"/>
  </r>
  <r>
    <s v="ORD1204"/>
    <x v="89"/>
    <x v="16"/>
    <x v="2"/>
    <x v="0"/>
    <x v="4"/>
    <n v="5"/>
    <n v="1139.05"/>
    <x v="99"/>
    <x v="3"/>
    <x v="0"/>
  </r>
  <r>
    <s v="ORD1205"/>
    <x v="89"/>
    <x v="15"/>
    <x v="0"/>
    <x v="2"/>
    <x v="2"/>
    <n v="3"/>
    <n v="349"/>
    <x v="24"/>
    <x v="3"/>
    <x v="0"/>
  </r>
  <r>
    <s v="ORD1206"/>
    <x v="90"/>
    <x v="7"/>
    <x v="1"/>
    <x v="2"/>
    <x v="1"/>
    <n v="3"/>
    <n v="899"/>
    <x v="84"/>
    <x v="3"/>
    <x v="0"/>
  </r>
  <r>
    <s v="ORD1207"/>
    <x v="90"/>
    <x v="1"/>
    <x v="1"/>
    <x v="2"/>
    <x v="2"/>
    <n v="6"/>
    <n v="1999"/>
    <x v="81"/>
    <x v="3"/>
    <x v="0"/>
  </r>
  <r>
    <s v="ORD1208"/>
    <x v="90"/>
    <x v="12"/>
    <x v="3"/>
    <x v="0"/>
    <x v="2"/>
    <n v="1"/>
    <n v="1299"/>
    <x v="40"/>
    <x v="3"/>
    <x v="0"/>
  </r>
  <r>
    <s v="ORD1209"/>
    <x v="90"/>
    <x v="12"/>
    <x v="3"/>
    <x v="3"/>
    <x v="2"/>
    <n v="1"/>
    <n v="1104.1500000000001"/>
    <x v="104"/>
    <x v="3"/>
    <x v="0"/>
  </r>
  <r>
    <s v="ORD1210"/>
    <x v="90"/>
    <x v="13"/>
    <x v="4"/>
    <x v="2"/>
    <x v="0"/>
    <n v="4"/>
    <n v="1499"/>
    <x v="98"/>
    <x v="3"/>
    <x v="0"/>
  </r>
  <r>
    <s v="ORD1211"/>
    <x v="91"/>
    <x v="8"/>
    <x v="4"/>
    <x v="1"/>
    <x v="3"/>
    <n v="2"/>
    <n v="2199"/>
    <x v="136"/>
    <x v="3"/>
    <x v="0"/>
  </r>
  <r>
    <s v="ORD1212"/>
    <x v="91"/>
    <x v="18"/>
    <x v="2"/>
    <x v="1"/>
    <x v="0"/>
    <n v="1"/>
    <n v="899"/>
    <x v="28"/>
    <x v="3"/>
    <x v="0"/>
  </r>
  <r>
    <s v="ORD1213"/>
    <x v="92"/>
    <x v="8"/>
    <x v="4"/>
    <x v="1"/>
    <x v="3"/>
    <n v="6"/>
    <n v="2199"/>
    <x v="45"/>
    <x v="3"/>
    <x v="0"/>
  </r>
  <r>
    <s v="ORD1214"/>
    <x v="92"/>
    <x v="10"/>
    <x v="4"/>
    <x v="1"/>
    <x v="1"/>
    <n v="1"/>
    <n v="849.15"/>
    <x v="142"/>
    <x v="3"/>
    <x v="0"/>
  </r>
  <r>
    <s v="ORD1215"/>
    <x v="92"/>
    <x v="16"/>
    <x v="2"/>
    <x v="1"/>
    <x v="5"/>
    <n v="4"/>
    <n v="1199"/>
    <x v="77"/>
    <x v="3"/>
    <x v="0"/>
  </r>
  <r>
    <s v="ORD1216"/>
    <x v="92"/>
    <x v="12"/>
    <x v="3"/>
    <x v="2"/>
    <x v="5"/>
    <n v="6"/>
    <n v="1234.05"/>
    <x v="56"/>
    <x v="3"/>
    <x v="0"/>
  </r>
  <r>
    <s v="ORD1217"/>
    <x v="93"/>
    <x v="17"/>
    <x v="1"/>
    <x v="3"/>
    <x v="4"/>
    <n v="8"/>
    <n v="1799"/>
    <x v="143"/>
    <x v="3"/>
    <x v="0"/>
  </r>
  <r>
    <s v="ORD1218"/>
    <x v="93"/>
    <x v="17"/>
    <x v="1"/>
    <x v="3"/>
    <x v="0"/>
    <n v="4"/>
    <n v="1799"/>
    <x v="141"/>
    <x v="3"/>
    <x v="0"/>
  </r>
  <r>
    <s v="ORD1219"/>
    <x v="93"/>
    <x v="11"/>
    <x v="3"/>
    <x v="3"/>
    <x v="1"/>
    <n v="2"/>
    <n v="3999"/>
    <x v="127"/>
    <x v="3"/>
    <x v="0"/>
  </r>
  <r>
    <s v="ORD1220"/>
    <x v="93"/>
    <x v="13"/>
    <x v="4"/>
    <x v="2"/>
    <x v="4"/>
    <n v="7"/>
    <n v="1499"/>
    <x v="144"/>
    <x v="3"/>
    <x v="0"/>
  </r>
  <r>
    <s v="ORD1221"/>
    <x v="94"/>
    <x v="15"/>
    <x v="0"/>
    <x v="2"/>
    <x v="2"/>
    <n v="7"/>
    <n v="314.10000000000002"/>
    <x v="145"/>
    <x v="3"/>
    <x v="0"/>
  </r>
  <r>
    <s v="ORD1222"/>
    <x v="95"/>
    <x v="10"/>
    <x v="4"/>
    <x v="2"/>
    <x v="4"/>
    <n v="6"/>
    <n v="999"/>
    <x v="14"/>
    <x v="3"/>
    <x v="0"/>
  </r>
  <r>
    <s v="ORD1223"/>
    <x v="95"/>
    <x v="1"/>
    <x v="1"/>
    <x v="2"/>
    <x v="4"/>
    <n v="7"/>
    <n v="1999"/>
    <x v="146"/>
    <x v="3"/>
    <x v="0"/>
  </r>
  <r>
    <s v="ORD1224"/>
    <x v="95"/>
    <x v="12"/>
    <x v="3"/>
    <x v="0"/>
    <x v="1"/>
    <n v="1"/>
    <n v="1104.1500000000001"/>
    <x v="104"/>
    <x v="3"/>
    <x v="0"/>
  </r>
  <r>
    <s v="ORD1225"/>
    <x v="96"/>
    <x v="0"/>
    <x v="0"/>
    <x v="3"/>
    <x v="5"/>
    <n v="8"/>
    <n v="299"/>
    <x v="69"/>
    <x v="3"/>
    <x v="0"/>
  </r>
  <r>
    <s v="ORD1226"/>
    <x v="97"/>
    <x v="10"/>
    <x v="4"/>
    <x v="3"/>
    <x v="0"/>
    <n v="3"/>
    <n v="999"/>
    <x v="41"/>
    <x v="4"/>
    <x v="0"/>
  </r>
  <r>
    <s v="ORD1227"/>
    <x v="97"/>
    <x v="7"/>
    <x v="1"/>
    <x v="1"/>
    <x v="4"/>
    <n v="3"/>
    <n v="899"/>
    <x v="84"/>
    <x v="4"/>
    <x v="0"/>
  </r>
  <r>
    <s v="ORD1228"/>
    <x v="98"/>
    <x v="16"/>
    <x v="2"/>
    <x v="2"/>
    <x v="0"/>
    <n v="4"/>
    <n v="1199"/>
    <x v="77"/>
    <x v="4"/>
    <x v="0"/>
  </r>
  <r>
    <s v="ORD1229"/>
    <x v="98"/>
    <x v="15"/>
    <x v="0"/>
    <x v="1"/>
    <x v="2"/>
    <n v="5"/>
    <n v="349"/>
    <x v="63"/>
    <x v="4"/>
    <x v="0"/>
  </r>
  <r>
    <s v="ORD1230"/>
    <x v="99"/>
    <x v="10"/>
    <x v="4"/>
    <x v="0"/>
    <x v="3"/>
    <n v="5"/>
    <n v="999"/>
    <x v="90"/>
    <x v="4"/>
    <x v="0"/>
  </r>
  <r>
    <s v="ORD1231"/>
    <x v="99"/>
    <x v="1"/>
    <x v="1"/>
    <x v="2"/>
    <x v="5"/>
    <n v="2"/>
    <n v="1899.05"/>
    <x v="147"/>
    <x v="4"/>
    <x v="0"/>
  </r>
  <r>
    <s v="ORD1232"/>
    <x v="99"/>
    <x v="6"/>
    <x v="2"/>
    <x v="2"/>
    <x v="2"/>
    <n v="6"/>
    <n v="799"/>
    <x v="17"/>
    <x v="4"/>
    <x v="0"/>
  </r>
  <r>
    <s v="ORD1233"/>
    <x v="100"/>
    <x v="8"/>
    <x v="4"/>
    <x v="0"/>
    <x v="0"/>
    <n v="3"/>
    <n v="2199"/>
    <x v="9"/>
    <x v="4"/>
    <x v="0"/>
  </r>
  <r>
    <s v="ORD1234"/>
    <x v="100"/>
    <x v="8"/>
    <x v="4"/>
    <x v="0"/>
    <x v="2"/>
    <n v="5"/>
    <n v="2089.0500000000002"/>
    <x v="148"/>
    <x v="4"/>
    <x v="0"/>
  </r>
  <r>
    <s v="ORD1235"/>
    <x v="101"/>
    <x v="4"/>
    <x v="2"/>
    <x v="2"/>
    <x v="3"/>
    <n v="3"/>
    <n v="3149.1"/>
    <x v="115"/>
    <x v="4"/>
    <x v="0"/>
  </r>
  <r>
    <s v="ORD1236"/>
    <x v="101"/>
    <x v="11"/>
    <x v="3"/>
    <x v="2"/>
    <x v="4"/>
    <n v="2"/>
    <n v="3999"/>
    <x v="127"/>
    <x v="4"/>
    <x v="0"/>
  </r>
  <r>
    <s v="ORD1237"/>
    <x v="102"/>
    <x v="6"/>
    <x v="2"/>
    <x v="0"/>
    <x v="1"/>
    <n v="7"/>
    <n v="799"/>
    <x v="149"/>
    <x v="4"/>
    <x v="0"/>
  </r>
  <r>
    <s v="ORD1238"/>
    <x v="103"/>
    <x v="18"/>
    <x v="2"/>
    <x v="2"/>
    <x v="5"/>
    <n v="1"/>
    <n v="809.1"/>
    <x v="150"/>
    <x v="4"/>
    <x v="0"/>
  </r>
  <r>
    <s v="ORD1239"/>
    <x v="104"/>
    <x v="3"/>
    <x v="1"/>
    <x v="3"/>
    <x v="2"/>
    <n v="5"/>
    <n v="2499"/>
    <x v="151"/>
    <x v="4"/>
    <x v="0"/>
  </r>
  <r>
    <s v="ORD1240"/>
    <x v="105"/>
    <x v="0"/>
    <x v="0"/>
    <x v="3"/>
    <x v="2"/>
    <n v="2"/>
    <n v="299"/>
    <x v="152"/>
    <x v="4"/>
    <x v="0"/>
  </r>
  <r>
    <s v="ORD1241"/>
    <x v="106"/>
    <x v="11"/>
    <x v="3"/>
    <x v="3"/>
    <x v="1"/>
    <n v="1"/>
    <n v="3999"/>
    <x v="92"/>
    <x v="4"/>
    <x v="0"/>
  </r>
  <r>
    <s v="ORD1242"/>
    <x v="106"/>
    <x v="1"/>
    <x v="1"/>
    <x v="2"/>
    <x v="4"/>
    <n v="1"/>
    <n v="1999"/>
    <x v="131"/>
    <x v="4"/>
    <x v="0"/>
  </r>
  <r>
    <s v="ORD1243"/>
    <x v="107"/>
    <x v="13"/>
    <x v="4"/>
    <x v="2"/>
    <x v="2"/>
    <n v="6"/>
    <n v="1424.05"/>
    <x v="153"/>
    <x v="4"/>
    <x v="0"/>
  </r>
  <r>
    <s v="ORD1244"/>
    <x v="107"/>
    <x v="5"/>
    <x v="3"/>
    <x v="0"/>
    <x v="5"/>
    <n v="6"/>
    <n v="4049.1"/>
    <x v="154"/>
    <x v="4"/>
    <x v="0"/>
  </r>
  <r>
    <s v="ORD1245"/>
    <x v="108"/>
    <x v="1"/>
    <x v="1"/>
    <x v="3"/>
    <x v="1"/>
    <n v="4"/>
    <n v="1999"/>
    <x v="155"/>
    <x v="4"/>
    <x v="0"/>
  </r>
  <r>
    <s v="ORD1246"/>
    <x v="109"/>
    <x v="8"/>
    <x v="4"/>
    <x v="2"/>
    <x v="0"/>
    <n v="3"/>
    <n v="2199"/>
    <x v="9"/>
    <x v="4"/>
    <x v="0"/>
  </r>
  <r>
    <s v="ORD1247"/>
    <x v="109"/>
    <x v="7"/>
    <x v="1"/>
    <x v="1"/>
    <x v="1"/>
    <n v="8"/>
    <n v="899"/>
    <x v="117"/>
    <x v="4"/>
    <x v="0"/>
  </r>
  <r>
    <s v="ORD1248"/>
    <x v="110"/>
    <x v="16"/>
    <x v="2"/>
    <x v="2"/>
    <x v="3"/>
    <n v="6"/>
    <n v="1019.15"/>
    <x v="156"/>
    <x v="4"/>
    <x v="0"/>
  </r>
  <r>
    <s v="ORD1249"/>
    <x v="111"/>
    <x v="9"/>
    <x v="1"/>
    <x v="3"/>
    <x v="2"/>
    <n v="2"/>
    <n v="5499"/>
    <x v="157"/>
    <x v="4"/>
    <x v="0"/>
  </r>
  <r>
    <s v="ORD1250"/>
    <x v="112"/>
    <x v="9"/>
    <x v="1"/>
    <x v="0"/>
    <x v="0"/>
    <n v="1"/>
    <n v="5499"/>
    <x v="70"/>
    <x v="4"/>
    <x v="0"/>
  </r>
  <r>
    <s v="ORD1251"/>
    <x v="112"/>
    <x v="14"/>
    <x v="4"/>
    <x v="0"/>
    <x v="4"/>
    <n v="3"/>
    <n v="1619.1"/>
    <x v="158"/>
    <x v="4"/>
    <x v="0"/>
  </r>
  <r>
    <s v="ORD1252"/>
    <x v="113"/>
    <x v="5"/>
    <x v="3"/>
    <x v="2"/>
    <x v="4"/>
    <n v="6"/>
    <n v="4499"/>
    <x v="159"/>
    <x v="4"/>
    <x v="0"/>
  </r>
  <r>
    <s v="ORD1253"/>
    <x v="114"/>
    <x v="3"/>
    <x v="1"/>
    <x v="3"/>
    <x v="4"/>
    <n v="1"/>
    <n v="2249.1"/>
    <x v="160"/>
    <x v="4"/>
    <x v="0"/>
  </r>
  <r>
    <s v="ORD1254"/>
    <x v="114"/>
    <x v="2"/>
    <x v="0"/>
    <x v="0"/>
    <x v="5"/>
    <n v="3"/>
    <n v="399"/>
    <x v="111"/>
    <x v="4"/>
    <x v="0"/>
  </r>
  <r>
    <s v="ORD1255"/>
    <x v="115"/>
    <x v="7"/>
    <x v="1"/>
    <x v="1"/>
    <x v="5"/>
    <n v="5"/>
    <n v="899"/>
    <x v="11"/>
    <x v="4"/>
    <x v="0"/>
  </r>
  <r>
    <s v="ORD1256"/>
    <x v="116"/>
    <x v="11"/>
    <x v="3"/>
    <x v="1"/>
    <x v="4"/>
    <n v="1"/>
    <n v="3599.1"/>
    <x v="161"/>
    <x v="4"/>
    <x v="0"/>
  </r>
  <r>
    <s v="ORD1257"/>
    <x v="116"/>
    <x v="3"/>
    <x v="1"/>
    <x v="0"/>
    <x v="4"/>
    <n v="2"/>
    <n v="2499"/>
    <x v="30"/>
    <x v="4"/>
    <x v="0"/>
  </r>
  <r>
    <s v="ORD1258"/>
    <x v="117"/>
    <x v="5"/>
    <x v="3"/>
    <x v="1"/>
    <x v="1"/>
    <n v="3"/>
    <n v="4274.05"/>
    <x v="162"/>
    <x v="4"/>
    <x v="0"/>
  </r>
  <r>
    <s v="ORD1259"/>
    <x v="117"/>
    <x v="11"/>
    <x v="3"/>
    <x v="0"/>
    <x v="3"/>
    <n v="5"/>
    <n v="3999"/>
    <x v="97"/>
    <x v="4"/>
    <x v="0"/>
  </r>
  <r>
    <s v="ORD1260"/>
    <x v="118"/>
    <x v="16"/>
    <x v="2"/>
    <x v="2"/>
    <x v="4"/>
    <n v="1"/>
    <n v="1019.15"/>
    <x v="163"/>
    <x v="4"/>
    <x v="0"/>
  </r>
  <r>
    <s v="ORD1261"/>
    <x v="118"/>
    <x v="16"/>
    <x v="2"/>
    <x v="3"/>
    <x v="2"/>
    <n v="2"/>
    <n v="1199"/>
    <x v="76"/>
    <x v="4"/>
    <x v="0"/>
  </r>
  <r>
    <s v="ORD1262"/>
    <x v="118"/>
    <x v="6"/>
    <x v="2"/>
    <x v="2"/>
    <x v="2"/>
    <n v="1"/>
    <n v="719.1"/>
    <x v="164"/>
    <x v="4"/>
    <x v="0"/>
  </r>
  <r>
    <s v="ORD1263"/>
    <x v="119"/>
    <x v="18"/>
    <x v="2"/>
    <x v="1"/>
    <x v="3"/>
    <n v="5"/>
    <n v="899"/>
    <x v="11"/>
    <x v="4"/>
    <x v="0"/>
  </r>
  <r>
    <s v="ORD1264"/>
    <x v="119"/>
    <x v="18"/>
    <x v="2"/>
    <x v="2"/>
    <x v="3"/>
    <n v="6"/>
    <n v="899"/>
    <x v="62"/>
    <x v="4"/>
    <x v="0"/>
  </r>
  <r>
    <s v="ORD1265"/>
    <x v="119"/>
    <x v="3"/>
    <x v="1"/>
    <x v="0"/>
    <x v="4"/>
    <n v="4"/>
    <n v="2249.1"/>
    <x v="165"/>
    <x v="4"/>
    <x v="0"/>
  </r>
  <r>
    <s v="ORD1266"/>
    <x v="119"/>
    <x v="6"/>
    <x v="2"/>
    <x v="0"/>
    <x v="0"/>
    <n v="4"/>
    <n v="799"/>
    <x v="166"/>
    <x v="4"/>
    <x v="0"/>
  </r>
  <r>
    <s v="ORD1267"/>
    <x v="119"/>
    <x v="16"/>
    <x v="2"/>
    <x v="0"/>
    <x v="3"/>
    <n v="1"/>
    <n v="1199"/>
    <x v="58"/>
    <x v="4"/>
    <x v="0"/>
  </r>
  <r>
    <s v="ORD1268"/>
    <x v="120"/>
    <x v="9"/>
    <x v="1"/>
    <x v="2"/>
    <x v="0"/>
    <n v="6"/>
    <n v="5499"/>
    <x v="167"/>
    <x v="4"/>
    <x v="0"/>
  </r>
  <r>
    <s v="ORD1269"/>
    <x v="121"/>
    <x v="5"/>
    <x v="3"/>
    <x v="0"/>
    <x v="1"/>
    <n v="3"/>
    <n v="4499"/>
    <x v="46"/>
    <x v="4"/>
    <x v="0"/>
  </r>
  <r>
    <s v="ORD1270"/>
    <x v="121"/>
    <x v="5"/>
    <x v="3"/>
    <x v="3"/>
    <x v="2"/>
    <n v="6"/>
    <n v="4499"/>
    <x v="159"/>
    <x v="4"/>
    <x v="0"/>
  </r>
  <r>
    <s v="ORD1271"/>
    <x v="121"/>
    <x v="16"/>
    <x v="2"/>
    <x v="2"/>
    <x v="1"/>
    <n v="2"/>
    <n v="1199"/>
    <x v="76"/>
    <x v="4"/>
    <x v="0"/>
  </r>
  <r>
    <s v="ORD1272"/>
    <x v="122"/>
    <x v="18"/>
    <x v="2"/>
    <x v="0"/>
    <x v="0"/>
    <n v="3"/>
    <n v="899"/>
    <x v="84"/>
    <x v="4"/>
    <x v="0"/>
  </r>
  <r>
    <s v="ORD1273"/>
    <x v="122"/>
    <x v="15"/>
    <x v="0"/>
    <x v="1"/>
    <x v="0"/>
    <n v="6"/>
    <n v="349"/>
    <x v="168"/>
    <x v="4"/>
    <x v="0"/>
  </r>
  <r>
    <s v="ORD1274"/>
    <x v="122"/>
    <x v="2"/>
    <x v="0"/>
    <x v="3"/>
    <x v="1"/>
    <n v="4"/>
    <n v="399"/>
    <x v="169"/>
    <x v="4"/>
    <x v="0"/>
  </r>
  <r>
    <s v="ORD1275"/>
    <x v="123"/>
    <x v="14"/>
    <x v="4"/>
    <x v="2"/>
    <x v="5"/>
    <n v="2"/>
    <n v="1799"/>
    <x v="43"/>
    <x v="4"/>
    <x v="0"/>
  </r>
  <r>
    <s v="ORD1276"/>
    <x v="123"/>
    <x v="10"/>
    <x v="4"/>
    <x v="2"/>
    <x v="3"/>
    <n v="2"/>
    <n v="999"/>
    <x v="170"/>
    <x v="4"/>
    <x v="0"/>
  </r>
  <r>
    <s v="ORD1277"/>
    <x v="123"/>
    <x v="17"/>
    <x v="1"/>
    <x v="1"/>
    <x v="0"/>
    <n v="1"/>
    <n v="1799"/>
    <x v="27"/>
    <x v="4"/>
    <x v="0"/>
  </r>
  <r>
    <s v="ORD1278"/>
    <x v="124"/>
    <x v="9"/>
    <x v="1"/>
    <x v="2"/>
    <x v="3"/>
    <n v="1"/>
    <n v="5499"/>
    <x v="70"/>
    <x v="4"/>
    <x v="0"/>
  </r>
  <r>
    <s v="ORD1279"/>
    <x v="124"/>
    <x v="17"/>
    <x v="1"/>
    <x v="0"/>
    <x v="0"/>
    <n v="1"/>
    <n v="1799"/>
    <x v="27"/>
    <x v="4"/>
    <x v="0"/>
  </r>
  <r>
    <s v="ORD1280"/>
    <x v="124"/>
    <x v="18"/>
    <x v="2"/>
    <x v="0"/>
    <x v="0"/>
    <n v="4"/>
    <n v="899"/>
    <x v="7"/>
    <x v="4"/>
    <x v="0"/>
  </r>
  <r>
    <s v="ORD1281"/>
    <x v="124"/>
    <x v="5"/>
    <x v="3"/>
    <x v="1"/>
    <x v="1"/>
    <n v="8"/>
    <n v="4049.1"/>
    <x v="171"/>
    <x v="4"/>
    <x v="0"/>
  </r>
  <r>
    <s v="ORD1282"/>
    <x v="125"/>
    <x v="14"/>
    <x v="4"/>
    <x v="0"/>
    <x v="4"/>
    <n v="5"/>
    <n v="1799"/>
    <x v="75"/>
    <x v="5"/>
    <x v="0"/>
  </r>
  <r>
    <s v="ORD1283"/>
    <x v="125"/>
    <x v="3"/>
    <x v="1"/>
    <x v="3"/>
    <x v="3"/>
    <n v="1"/>
    <n v="2499"/>
    <x v="93"/>
    <x v="5"/>
    <x v="0"/>
  </r>
  <r>
    <s v="ORD1284"/>
    <x v="125"/>
    <x v="6"/>
    <x v="2"/>
    <x v="1"/>
    <x v="5"/>
    <n v="5"/>
    <n v="799"/>
    <x v="32"/>
    <x v="5"/>
    <x v="0"/>
  </r>
  <r>
    <s v="ORD1285"/>
    <x v="126"/>
    <x v="19"/>
    <x v="3"/>
    <x v="2"/>
    <x v="0"/>
    <n v="7"/>
    <n v="2969.1"/>
    <x v="172"/>
    <x v="5"/>
    <x v="0"/>
  </r>
  <r>
    <s v="ORD1286"/>
    <x v="127"/>
    <x v="13"/>
    <x v="4"/>
    <x v="1"/>
    <x v="0"/>
    <n v="2"/>
    <n v="1499"/>
    <x v="35"/>
    <x v="5"/>
    <x v="0"/>
  </r>
  <r>
    <s v="ORD1287"/>
    <x v="127"/>
    <x v="16"/>
    <x v="2"/>
    <x v="2"/>
    <x v="1"/>
    <n v="4"/>
    <n v="1139.05"/>
    <x v="173"/>
    <x v="5"/>
    <x v="0"/>
  </r>
  <r>
    <s v="ORD1288"/>
    <x v="127"/>
    <x v="3"/>
    <x v="1"/>
    <x v="2"/>
    <x v="3"/>
    <n v="2"/>
    <n v="2499"/>
    <x v="30"/>
    <x v="5"/>
    <x v="0"/>
  </r>
  <r>
    <s v="ORD1289"/>
    <x v="128"/>
    <x v="17"/>
    <x v="1"/>
    <x v="3"/>
    <x v="4"/>
    <n v="6"/>
    <n v="1799"/>
    <x v="91"/>
    <x v="5"/>
    <x v="0"/>
  </r>
  <r>
    <s v="ORD1290"/>
    <x v="128"/>
    <x v="8"/>
    <x v="4"/>
    <x v="2"/>
    <x v="5"/>
    <n v="9"/>
    <n v="2199"/>
    <x v="174"/>
    <x v="5"/>
    <x v="0"/>
  </r>
  <r>
    <s v="ORD1291"/>
    <x v="129"/>
    <x v="2"/>
    <x v="0"/>
    <x v="2"/>
    <x v="2"/>
    <n v="4"/>
    <n v="399"/>
    <x v="169"/>
    <x v="5"/>
    <x v="0"/>
  </r>
  <r>
    <s v="ORD1292"/>
    <x v="129"/>
    <x v="4"/>
    <x v="2"/>
    <x v="1"/>
    <x v="0"/>
    <n v="3"/>
    <n v="3149.1"/>
    <x v="115"/>
    <x v="5"/>
    <x v="0"/>
  </r>
  <r>
    <s v="ORD1293"/>
    <x v="129"/>
    <x v="2"/>
    <x v="0"/>
    <x v="0"/>
    <x v="4"/>
    <n v="5"/>
    <n v="399"/>
    <x v="109"/>
    <x v="5"/>
    <x v="0"/>
  </r>
  <r>
    <s v="ORD1294"/>
    <x v="130"/>
    <x v="8"/>
    <x v="4"/>
    <x v="1"/>
    <x v="4"/>
    <n v="2"/>
    <n v="2089.0500000000002"/>
    <x v="175"/>
    <x v="5"/>
    <x v="0"/>
  </r>
  <r>
    <s v="ORD1295"/>
    <x v="130"/>
    <x v="12"/>
    <x v="3"/>
    <x v="2"/>
    <x v="2"/>
    <n v="5"/>
    <n v="1234.05"/>
    <x v="176"/>
    <x v="5"/>
    <x v="0"/>
  </r>
  <r>
    <s v="ORD1296"/>
    <x v="130"/>
    <x v="8"/>
    <x v="4"/>
    <x v="2"/>
    <x v="5"/>
    <n v="4"/>
    <n v="2089.0500000000002"/>
    <x v="177"/>
    <x v="5"/>
    <x v="0"/>
  </r>
  <r>
    <s v="ORD1297"/>
    <x v="131"/>
    <x v="1"/>
    <x v="1"/>
    <x v="2"/>
    <x v="1"/>
    <n v="2"/>
    <n v="1999"/>
    <x v="178"/>
    <x v="5"/>
    <x v="0"/>
  </r>
  <r>
    <s v="ORD1298"/>
    <x v="131"/>
    <x v="13"/>
    <x v="4"/>
    <x v="3"/>
    <x v="4"/>
    <n v="3"/>
    <n v="1499"/>
    <x v="96"/>
    <x v="5"/>
    <x v="0"/>
  </r>
  <r>
    <s v="ORD1299"/>
    <x v="132"/>
    <x v="10"/>
    <x v="4"/>
    <x v="2"/>
    <x v="2"/>
    <n v="4"/>
    <n v="999"/>
    <x v="38"/>
    <x v="5"/>
    <x v="0"/>
  </r>
  <r>
    <s v="ORD1300"/>
    <x v="132"/>
    <x v="11"/>
    <x v="3"/>
    <x v="0"/>
    <x v="2"/>
    <n v="8"/>
    <n v="3999"/>
    <x v="179"/>
    <x v="5"/>
    <x v="0"/>
  </r>
  <r>
    <s v="ORD1301"/>
    <x v="132"/>
    <x v="11"/>
    <x v="3"/>
    <x v="2"/>
    <x v="5"/>
    <n v="6"/>
    <n v="3999"/>
    <x v="180"/>
    <x v="5"/>
    <x v="0"/>
  </r>
  <r>
    <s v="ORD1302"/>
    <x v="133"/>
    <x v="1"/>
    <x v="1"/>
    <x v="0"/>
    <x v="1"/>
    <n v="5"/>
    <n v="1999"/>
    <x v="181"/>
    <x v="5"/>
    <x v="0"/>
  </r>
  <r>
    <s v="ORD1303"/>
    <x v="133"/>
    <x v="4"/>
    <x v="2"/>
    <x v="2"/>
    <x v="2"/>
    <n v="8"/>
    <n v="3324.05"/>
    <x v="182"/>
    <x v="5"/>
    <x v="0"/>
  </r>
  <r>
    <s v="ORD1304"/>
    <x v="134"/>
    <x v="4"/>
    <x v="2"/>
    <x v="2"/>
    <x v="2"/>
    <n v="6"/>
    <n v="3499"/>
    <x v="4"/>
    <x v="5"/>
    <x v="0"/>
  </r>
  <r>
    <s v="ORD1305"/>
    <x v="134"/>
    <x v="14"/>
    <x v="4"/>
    <x v="2"/>
    <x v="0"/>
    <n v="1"/>
    <n v="1799"/>
    <x v="27"/>
    <x v="5"/>
    <x v="0"/>
  </r>
  <r>
    <s v="ORD1306"/>
    <x v="135"/>
    <x v="19"/>
    <x v="3"/>
    <x v="0"/>
    <x v="0"/>
    <n v="8"/>
    <n v="3299"/>
    <x v="183"/>
    <x v="5"/>
    <x v="0"/>
  </r>
  <r>
    <s v="ORD1307"/>
    <x v="135"/>
    <x v="14"/>
    <x v="4"/>
    <x v="3"/>
    <x v="3"/>
    <n v="8"/>
    <n v="1799"/>
    <x v="143"/>
    <x v="5"/>
    <x v="0"/>
  </r>
  <r>
    <s v="ORD1308"/>
    <x v="136"/>
    <x v="6"/>
    <x v="2"/>
    <x v="0"/>
    <x v="0"/>
    <n v="6"/>
    <n v="719.1"/>
    <x v="184"/>
    <x v="5"/>
    <x v="0"/>
  </r>
  <r>
    <s v="ORD1309"/>
    <x v="136"/>
    <x v="8"/>
    <x v="4"/>
    <x v="3"/>
    <x v="2"/>
    <n v="1"/>
    <n v="2089.0500000000002"/>
    <x v="85"/>
    <x v="5"/>
    <x v="0"/>
  </r>
  <r>
    <s v="ORD1310"/>
    <x v="137"/>
    <x v="6"/>
    <x v="2"/>
    <x v="2"/>
    <x v="1"/>
    <n v="5"/>
    <n v="799"/>
    <x v="32"/>
    <x v="5"/>
    <x v="0"/>
  </r>
  <r>
    <s v="ORD1311"/>
    <x v="137"/>
    <x v="17"/>
    <x v="1"/>
    <x v="2"/>
    <x v="4"/>
    <n v="7"/>
    <n v="1619.1"/>
    <x v="185"/>
    <x v="5"/>
    <x v="0"/>
  </r>
  <r>
    <s v="ORD1312"/>
    <x v="137"/>
    <x v="13"/>
    <x v="4"/>
    <x v="2"/>
    <x v="2"/>
    <n v="4"/>
    <n v="1274.1500000000001"/>
    <x v="186"/>
    <x v="5"/>
    <x v="0"/>
  </r>
  <r>
    <s v="ORD1313"/>
    <x v="138"/>
    <x v="10"/>
    <x v="4"/>
    <x v="0"/>
    <x v="0"/>
    <n v="2"/>
    <n v="999"/>
    <x v="170"/>
    <x v="5"/>
    <x v="0"/>
  </r>
  <r>
    <s v="ORD1314"/>
    <x v="138"/>
    <x v="15"/>
    <x v="0"/>
    <x v="0"/>
    <x v="4"/>
    <n v="3"/>
    <n v="349"/>
    <x v="24"/>
    <x v="5"/>
    <x v="0"/>
  </r>
  <r>
    <s v="ORD1315"/>
    <x v="138"/>
    <x v="6"/>
    <x v="2"/>
    <x v="2"/>
    <x v="1"/>
    <n v="6"/>
    <n v="799"/>
    <x v="17"/>
    <x v="5"/>
    <x v="0"/>
  </r>
  <r>
    <s v="ORD1316"/>
    <x v="138"/>
    <x v="10"/>
    <x v="4"/>
    <x v="2"/>
    <x v="4"/>
    <n v="5"/>
    <n v="999"/>
    <x v="90"/>
    <x v="5"/>
    <x v="0"/>
  </r>
  <r>
    <s v="ORD1317"/>
    <x v="139"/>
    <x v="16"/>
    <x v="2"/>
    <x v="1"/>
    <x v="5"/>
    <n v="5"/>
    <n v="1199"/>
    <x v="71"/>
    <x v="5"/>
    <x v="0"/>
  </r>
  <r>
    <s v="ORD1318"/>
    <x v="139"/>
    <x v="18"/>
    <x v="2"/>
    <x v="2"/>
    <x v="2"/>
    <n v="8"/>
    <n v="899"/>
    <x v="117"/>
    <x v="5"/>
    <x v="0"/>
  </r>
  <r>
    <s v="ORD1319"/>
    <x v="139"/>
    <x v="19"/>
    <x v="3"/>
    <x v="2"/>
    <x v="1"/>
    <n v="4"/>
    <n v="3299"/>
    <x v="61"/>
    <x v="5"/>
    <x v="0"/>
  </r>
  <r>
    <s v="ORD1320"/>
    <x v="140"/>
    <x v="9"/>
    <x v="1"/>
    <x v="2"/>
    <x v="5"/>
    <n v="8"/>
    <n v="5499"/>
    <x v="116"/>
    <x v="5"/>
    <x v="0"/>
  </r>
  <r>
    <s v="ORD1321"/>
    <x v="141"/>
    <x v="13"/>
    <x v="4"/>
    <x v="2"/>
    <x v="5"/>
    <n v="7"/>
    <n v="1499"/>
    <x v="144"/>
    <x v="5"/>
    <x v="0"/>
  </r>
  <r>
    <s v="ORD1322"/>
    <x v="141"/>
    <x v="13"/>
    <x v="4"/>
    <x v="1"/>
    <x v="3"/>
    <n v="7"/>
    <n v="1349.1"/>
    <x v="187"/>
    <x v="5"/>
    <x v="0"/>
  </r>
  <r>
    <s v="ORD1323"/>
    <x v="141"/>
    <x v="0"/>
    <x v="0"/>
    <x v="3"/>
    <x v="2"/>
    <n v="8"/>
    <n v="299"/>
    <x v="69"/>
    <x v="5"/>
    <x v="0"/>
  </r>
  <r>
    <s v="ORD1324"/>
    <x v="141"/>
    <x v="9"/>
    <x v="1"/>
    <x v="0"/>
    <x v="1"/>
    <n v="5"/>
    <n v="5499"/>
    <x v="34"/>
    <x v="5"/>
    <x v="0"/>
  </r>
  <r>
    <s v="ORD1325"/>
    <x v="141"/>
    <x v="10"/>
    <x v="4"/>
    <x v="2"/>
    <x v="4"/>
    <n v="9"/>
    <n v="999"/>
    <x v="188"/>
    <x v="5"/>
    <x v="0"/>
  </r>
  <r>
    <s v="ORD1326"/>
    <x v="142"/>
    <x v="2"/>
    <x v="0"/>
    <x v="0"/>
    <x v="3"/>
    <n v="1"/>
    <n v="399"/>
    <x v="189"/>
    <x v="5"/>
    <x v="0"/>
  </r>
  <r>
    <s v="ORD1327"/>
    <x v="143"/>
    <x v="14"/>
    <x v="4"/>
    <x v="3"/>
    <x v="4"/>
    <n v="9"/>
    <n v="1619.1"/>
    <x v="190"/>
    <x v="5"/>
    <x v="0"/>
  </r>
  <r>
    <s v="ORD1328"/>
    <x v="144"/>
    <x v="8"/>
    <x v="4"/>
    <x v="0"/>
    <x v="4"/>
    <n v="5"/>
    <n v="2199"/>
    <x v="59"/>
    <x v="5"/>
    <x v="0"/>
  </r>
  <r>
    <s v="ORD1329"/>
    <x v="144"/>
    <x v="14"/>
    <x v="4"/>
    <x v="0"/>
    <x v="1"/>
    <n v="5"/>
    <n v="1709.05"/>
    <x v="191"/>
    <x v="5"/>
    <x v="0"/>
  </r>
  <r>
    <s v="ORD1330"/>
    <x v="145"/>
    <x v="18"/>
    <x v="2"/>
    <x v="0"/>
    <x v="2"/>
    <n v="3"/>
    <n v="899"/>
    <x v="84"/>
    <x v="5"/>
    <x v="0"/>
  </r>
  <r>
    <s v="ORD1331"/>
    <x v="145"/>
    <x v="16"/>
    <x v="2"/>
    <x v="1"/>
    <x v="0"/>
    <n v="1"/>
    <n v="1199"/>
    <x v="58"/>
    <x v="5"/>
    <x v="0"/>
  </r>
  <r>
    <s v="ORD1332"/>
    <x v="145"/>
    <x v="9"/>
    <x v="1"/>
    <x v="0"/>
    <x v="1"/>
    <n v="9"/>
    <n v="5499"/>
    <x v="125"/>
    <x v="5"/>
    <x v="0"/>
  </r>
  <r>
    <s v="ORD1333"/>
    <x v="145"/>
    <x v="4"/>
    <x v="2"/>
    <x v="1"/>
    <x v="2"/>
    <n v="7"/>
    <n v="3499"/>
    <x v="8"/>
    <x v="5"/>
    <x v="0"/>
  </r>
  <r>
    <s v="ORD1334"/>
    <x v="146"/>
    <x v="7"/>
    <x v="1"/>
    <x v="2"/>
    <x v="5"/>
    <n v="5"/>
    <n v="899"/>
    <x v="11"/>
    <x v="5"/>
    <x v="0"/>
  </r>
  <r>
    <s v="ORD1335"/>
    <x v="146"/>
    <x v="4"/>
    <x v="2"/>
    <x v="0"/>
    <x v="3"/>
    <n v="3"/>
    <n v="3499"/>
    <x v="82"/>
    <x v="5"/>
    <x v="0"/>
  </r>
  <r>
    <s v="ORD1336"/>
    <x v="147"/>
    <x v="3"/>
    <x v="1"/>
    <x v="1"/>
    <x v="1"/>
    <n v="8"/>
    <n v="2374.0500000000002"/>
    <x v="192"/>
    <x v="5"/>
    <x v="0"/>
  </r>
  <r>
    <s v="ORD1337"/>
    <x v="147"/>
    <x v="6"/>
    <x v="2"/>
    <x v="2"/>
    <x v="5"/>
    <n v="4"/>
    <n v="799"/>
    <x v="166"/>
    <x v="5"/>
    <x v="0"/>
  </r>
  <r>
    <s v="ORD1338"/>
    <x v="147"/>
    <x v="9"/>
    <x v="1"/>
    <x v="1"/>
    <x v="2"/>
    <n v="4"/>
    <n v="5499"/>
    <x v="193"/>
    <x v="5"/>
    <x v="0"/>
  </r>
  <r>
    <s v="ORD1339"/>
    <x v="148"/>
    <x v="2"/>
    <x v="0"/>
    <x v="3"/>
    <x v="5"/>
    <n v="1"/>
    <n v="359.1"/>
    <x v="194"/>
    <x v="5"/>
    <x v="0"/>
  </r>
  <r>
    <s v="ORD1340"/>
    <x v="148"/>
    <x v="0"/>
    <x v="0"/>
    <x v="0"/>
    <x v="4"/>
    <n v="6"/>
    <n v="284.05"/>
    <x v="195"/>
    <x v="5"/>
    <x v="0"/>
  </r>
  <r>
    <s v="ORD1341"/>
    <x v="149"/>
    <x v="12"/>
    <x v="3"/>
    <x v="0"/>
    <x v="5"/>
    <n v="2"/>
    <n v="1299"/>
    <x v="87"/>
    <x v="5"/>
    <x v="0"/>
  </r>
  <r>
    <s v="ORD1342"/>
    <x v="149"/>
    <x v="4"/>
    <x v="2"/>
    <x v="2"/>
    <x v="5"/>
    <n v="8"/>
    <n v="3499"/>
    <x v="196"/>
    <x v="5"/>
    <x v="0"/>
  </r>
  <r>
    <s v="ORD1343"/>
    <x v="150"/>
    <x v="6"/>
    <x v="2"/>
    <x v="0"/>
    <x v="5"/>
    <n v="7"/>
    <n v="799"/>
    <x v="149"/>
    <x v="6"/>
    <x v="0"/>
  </r>
  <r>
    <s v="ORD1344"/>
    <x v="150"/>
    <x v="16"/>
    <x v="2"/>
    <x v="0"/>
    <x v="5"/>
    <n v="4"/>
    <n v="1199"/>
    <x v="77"/>
    <x v="6"/>
    <x v="0"/>
  </r>
  <r>
    <s v="ORD1345"/>
    <x v="150"/>
    <x v="7"/>
    <x v="1"/>
    <x v="3"/>
    <x v="4"/>
    <n v="3"/>
    <n v="899"/>
    <x v="84"/>
    <x v="6"/>
    <x v="0"/>
  </r>
  <r>
    <s v="ORD1346"/>
    <x v="151"/>
    <x v="14"/>
    <x v="4"/>
    <x v="2"/>
    <x v="4"/>
    <n v="1"/>
    <n v="1619.1"/>
    <x v="197"/>
    <x v="6"/>
    <x v="0"/>
  </r>
  <r>
    <s v="ORD1347"/>
    <x v="151"/>
    <x v="16"/>
    <x v="2"/>
    <x v="2"/>
    <x v="5"/>
    <n v="8"/>
    <n v="1199"/>
    <x v="198"/>
    <x v="6"/>
    <x v="0"/>
  </r>
  <r>
    <s v="ORD1348"/>
    <x v="152"/>
    <x v="13"/>
    <x v="4"/>
    <x v="0"/>
    <x v="5"/>
    <n v="6"/>
    <n v="1499"/>
    <x v="199"/>
    <x v="6"/>
    <x v="0"/>
  </r>
  <r>
    <s v="ORD1349"/>
    <x v="152"/>
    <x v="2"/>
    <x v="0"/>
    <x v="2"/>
    <x v="4"/>
    <n v="1"/>
    <n v="399"/>
    <x v="189"/>
    <x v="6"/>
    <x v="0"/>
  </r>
  <r>
    <s v="ORD1350"/>
    <x v="153"/>
    <x v="15"/>
    <x v="0"/>
    <x v="0"/>
    <x v="2"/>
    <n v="2"/>
    <n v="349"/>
    <x v="200"/>
    <x v="6"/>
    <x v="0"/>
  </r>
  <r>
    <s v="ORD1351"/>
    <x v="153"/>
    <x v="12"/>
    <x v="3"/>
    <x v="1"/>
    <x v="4"/>
    <n v="2"/>
    <n v="1169.0999999999999"/>
    <x v="201"/>
    <x v="6"/>
    <x v="0"/>
  </r>
  <r>
    <s v="ORD1352"/>
    <x v="154"/>
    <x v="2"/>
    <x v="0"/>
    <x v="0"/>
    <x v="2"/>
    <n v="1"/>
    <n v="359.1"/>
    <x v="194"/>
    <x v="6"/>
    <x v="0"/>
  </r>
  <r>
    <s v="ORD1353"/>
    <x v="154"/>
    <x v="9"/>
    <x v="1"/>
    <x v="3"/>
    <x v="5"/>
    <n v="4"/>
    <n v="4949.1000000000004"/>
    <x v="202"/>
    <x v="6"/>
    <x v="0"/>
  </r>
  <r>
    <s v="ORD1354"/>
    <x v="154"/>
    <x v="18"/>
    <x v="2"/>
    <x v="3"/>
    <x v="2"/>
    <n v="4"/>
    <n v="809.1"/>
    <x v="126"/>
    <x v="6"/>
    <x v="0"/>
  </r>
  <r>
    <s v="ORD1355"/>
    <x v="155"/>
    <x v="4"/>
    <x v="2"/>
    <x v="2"/>
    <x v="3"/>
    <n v="8"/>
    <n v="3499"/>
    <x v="196"/>
    <x v="6"/>
    <x v="0"/>
  </r>
  <r>
    <s v="ORD1356"/>
    <x v="155"/>
    <x v="4"/>
    <x v="2"/>
    <x v="2"/>
    <x v="3"/>
    <n v="1"/>
    <n v="2974.15"/>
    <x v="203"/>
    <x v="6"/>
    <x v="0"/>
  </r>
  <r>
    <s v="ORD1357"/>
    <x v="156"/>
    <x v="5"/>
    <x v="3"/>
    <x v="0"/>
    <x v="5"/>
    <n v="6"/>
    <n v="4499"/>
    <x v="159"/>
    <x v="6"/>
    <x v="0"/>
  </r>
  <r>
    <s v="ORD1358"/>
    <x v="157"/>
    <x v="19"/>
    <x v="3"/>
    <x v="3"/>
    <x v="2"/>
    <n v="2"/>
    <n v="3299"/>
    <x v="114"/>
    <x v="6"/>
    <x v="0"/>
  </r>
  <r>
    <s v="ORD1359"/>
    <x v="157"/>
    <x v="13"/>
    <x v="4"/>
    <x v="3"/>
    <x v="3"/>
    <n v="1"/>
    <n v="1499"/>
    <x v="204"/>
    <x v="6"/>
    <x v="0"/>
  </r>
  <r>
    <s v="ORD1360"/>
    <x v="157"/>
    <x v="7"/>
    <x v="1"/>
    <x v="3"/>
    <x v="0"/>
    <n v="4"/>
    <n v="899"/>
    <x v="7"/>
    <x v="6"/>
    <x v="0"/>
  </r>
  <r>
    <s v="ORD1361"/>
    <x v="158"/>
    <x v="16"/>
    <x v="2"/>
    <x v="2"/>
    <x v="4"/>
    <n v="2"/>
    <n v="1199"/>
    <x v="76"/>
    <x v="6"/>
    <x v="0"/>
  </r>
  <r>
    <s v="ORD1362"/>
    <x v="159"/>
    <x v="10"/>
    <x v="4"/>
    <x v="0"/>
    <x v="5"/>
    <n v="1"/>
    <n v="999"/>
    <x v="106"/>
    <x v="6"/>
    <x v="0"/>
  </r>
  <r>
    <s v="ORD1363"/>
    <x v="159"/>
    <x v="2"/>
    <x v="0"/>
    <x v="3"/>
    <x v="0"/>
    <n v="4"/>
    <n v="399"/>
    <x v="169"/>
    <x v="6"/>
    <x v="0"/>
  </r>
  <r>
    <s v="ORD1364"/>
    <x v="160"/>
    <x v="15"/>
    <x v="0"/>
    <x v="2"/>
    <x v="3"/>
    <n v="1"/>
    <n v="349"/>
    <x v="205"/>
    <x v="6"/>
    <x v="0"/>
  </r>
  <r>
    <s v="ORD1365"/>
    <x v="161"/>
    <x v="5"/>
    <x v="3"/>
    <x v="2"/>
    <x v="1"/>
    <n v="4"/>
    <n v="3824.15"/>
    <x v="5"/>
    <x v="6"/>
    <x v="0"/>
  </r>
  <r>
    <s v="ORD1366"/>
    <x v="161"/>
    <x v="12"/>
    <x v="3"/>
    <x v="1"/>
    <x v="2"/>
    <n v="4"/>
    <n v="1104.1500000000001"/>
    <x v="206"/>
    <x v="6"/>
    <x v="0"/>
  </r>
  <r>
    <s v="ORD1367"/>
    <x v="162"/>
    <x v="0"/>
    <x v="0"/>
    <x v="2"/>
    <x v="3"/>
    <n v="6"/>
    <n v="299"/>
    <x v="207"/>
    <x v="6"/>
    <x v="0"/>
  </r>
  <r>
    <s v="ORD1368"/>
    <x v="162"/>
    <x v="16"/>
    <x v="2"/>
    <x v="1"/>
    <x v="5"/>
    <n v="5"/>
    <n v="1139.05"/>
    <x v="99"/>
    <x v="6"/>
    <x v="0"/>
  </r>
  <r>
    <s v="ORD1369"/>
    <x v="163"/>
    <x v="8"/>
    <x v="4"/>
    <x v="3"/>
    <x v="0"/>
    <n v="2"/>
    <n v="1869.15"/>
    <x v="208"/>
    <x v="6"/>
    <x v="0"/>
  </r>
  <r>
    <s v="ORD1370"/>
    <x v="163"/>
    <x v="5"/>
    <x v="3"/>
    <x v="0"/>
    <x v="2"/>
    <n v="6"/>
    <n v="4049.1"/>
    <x v="154"/>
    <x v="6"/>
    <x v="0"/>
  </r>
  <r>
    <s v="ORD1371"/>
    <x v="163"/>
    <x v="11"/>
    <x v="3"/>
    <x v="2"/>
    <x v="0"/>
    <n v="3"/>
    <n v="3999"/>
    <x v="209"/>
    <x v="6"/>
    <x v="0"/>
  </r>
  <r>
    <s v="ORD1372"/>
    <x v="164"/>
    <x v="6"/>
    <x v="2"/>
    <x v="2"/>
    <x v="0"/>
    <n v="7"/>
    <n v="799"/>
    <x v="149"/>
    <x v="6"/>
    <x v="0"/>
  </r>
  <r>
    <s v="ORD1373"/>
    <x v="165"/>
    <x v="11"/>
    <x v="3"/>
    <x v="1"/>
    <x v="5"/>
    <n v="7"/>
    <n v="3999"/>
    <x v="140"/>
    <x v="6"/>
    <x v="0"/>
  </r>
  <r>
    <s v="ORD1374"/>
    <x v="165"/>
    <x v="4"/>
    <x v="2"/>
    <x v="0"/>
    <x v="2"/>
    <n v="3"/>
    <n v="3499"/>
    <x v="82"/>
    <x v="6"/>
    <x v="0"/>
  </r>
  <r>
    <s v="ORD1375"/>
    <x v="165"/>
    <x v="9"/>
    <x v="1"/>
    <x v="3"/>
    <x v="2"/>
    <n v="8"/>
    <n v="4674.1499999999996"/>
    <x v="210"/>
    <x v="6"/>
    <x v="0"/>
  </r>
  <r>
    <s v="ORD1376"/>
    <x v="166"/>
    <x v="18"/>
    <x v="2"/>
    <x v="2"/>
    <x v="4"/>
    <n v="7"/>
    <n v="899"/>
    <x v="105"/>
    <x v="6"/>
    <x v="0"/>
  </r>
  <r>
    <s v="ORD1377"/>
    <x v="166"/>
    <x v="19"/>
    <x v="3"/>
    <x v="0"/>
    <x v="3"/>
    <n v="1"/>
    <n v="3299"/>
    <x v="119"/>
    <x v="6"/>
    <x v="0"/>
  </r>
  <r>
    <s v="ORD1378"/>
    <x v="167"/>
    <x v="18"/>
    <x v="2"/>
    <x v="2"/>
    <x v="5"/>
    <n v="2"/>
    <n v="854.05"/>
    <x v="211"/>
    <x v="6"/>
    <x v="0"/>
  </r>
  <r>
    <s v="ORD1379"/>
    <x v="167"/>
    <x v="10"/>
    <x v="4"/>
    <x v="0"/>
    <x v="2"/>
    <n v="1"/>
    <n v="999"/>
    <x v="106"/>
    <x v="6"/>
    <x v="0"/>
  </r>
  <r>
    <s v="ORD1380"/>
    <x v="167"/>
    <x v="3"/>
    <x v="1"/>
    <x v="3"/>
    <x v="2"/>
    <n v="7"/>
    <n v="2499"/>
    <x v="139"/>
    <x v="6"/>
    <x v="0"/>
  </r>
  <r>
    <s v="ORD1381"/>
    <x v="168"/>
    <x v="5"/>
    <x v="3"/>
    <x v="2"/>
    <x v="1"/>
    <n v="1"/>
    <n v="4499"/>
    <x v="212"/>
    <x v="6"/>
    <x v="0"/>
  </r>
  <r>
    <s v="ORD1382"/>
    <x v="168"/>
    <x v="11"/>
    <x v="3"/>
    <x v="2"/>
    <x v="3"/>
    <n v="1"/>
    <n v="3999"/>
    <x v="92"/>
    <x v="6"/>
    <x v="0"/>
  </r>
  <r>
    <s v="ORD1383"/>
    <x v="168"/>
    <x v="17"/>
    <x v="1"/>
    <x v="2"/>
    <x v="5"/>
    <n v="8"/>
    <n v="1799"/>
    <x v="143"/>
    <x v="6"/>
    <x v="0"/>
  </r>
  <r>
    <s v="ORD1384"/>
    <x v="169"/>
    <x v="0"/>
    <x v="0"/>
    <x v="1"/>
    <x v="2"/>
    <n v="7"/>
    <n v="299"/>
    <x v="213"/>
    <x v="6"/>
    <x v="0"/>
  </r>
  <r>
    <s v="ORD1385"/>
    <x v="170"/>
    <x v="10"/>
    <x v="4"/>
    <x v="0"/>
    <x v="2"/>
    <n v="4"/>
    <n v="999"/>
    <x v="38"/>
    <x v="6"/>
    <x v="0"/>
  </r>
  <r>
    <s v="ORD1386"/>
    <x v="171"/>
    <x v="6"/>
    <x v="2"/>
    <x v="2"/>
    <x v="2"/>
    <n v="2"/>
    <n v="759.05"/>
    <x v="214"/>
    <x v="6"/>
    <x v="0"/>
  </r>
  <r>
    <s v="ORD1387"/>
    <x v="171"/>
    <x v="13"/>
    <x v="4"/>
    <x v="1"/>
    <x v="5"/>
    <n v="9"/>
    <n v="1499"/>
    <x v="215"/>
    <x v="6"/>
    <x v="0"/>
  </r>
  <r>
    <s v="ORD1388"/>
    <x v="171"/>
    <x v="7"/>
    <x v="1"/>
    <x v="1"/>
    <x v="1"/>
    <n v="3"/>
    <n v="899"/>
    <x v="84"/>
    <x v="6"/>
    <x v="0"/>
  </r>
  <r>
    <s v="ORD1389"/>
    <x v="172"/>
    <x v="1"/>
    <x v="1"/>
    <x v="1"/>
    <x v="2"/>
    <n v="7"/>
    <n v="1999"/>
    <x v="146"/>
    <x v="6"/>
    <x v="0"/>
  </r>
  <r>
    <s v="ORD1390"/>
    <x v="173"/>
    <x v="16"/>
    <x v="2"/>
    <x v="2"/>
    <x v="5"/>
    <n v="8"/>
    <n v="1199"/>
    <x v="198"/>
    <x v="6"/>
    <x v="0"/>
  </r>
  <r>
    <s v="ORD1391"/>
    <x v="173"/>
    <x v="18"/>
    <x v="2"/>
    <x v="3"/>
    <x v="4"/>
    <n v="2"/>
    <n v="899"/>
    <x v="37"/>
    <x v="6"/>
    <x v="0"/>
  </r>
  <r>
    <s v="ORD1392"/>
    <x v="173"/>
    <x v="13"/>
    <x v="4"/>
    <x v="2"/>
    <x v="2"/>
    <n v="1"/>
    <n v="1499"/>
    <x v="204"/>
    <x v="6"/>
    <x v="0"/>
  </r>
  <r>
    <s v="ORD1393"/>
    <x v="174"/>
    <x v="16"/>
    <x v="2"/>
    <x v="2"/>
    <x v="4"/>
    <n v="8"/>
    <n v="1079.0999999999999"/>
    <x v="216"/>
    <x v="7"/>
    <x v="0"/>
  </r>
  <r>
    <s v="ORD1394"/>
    <x v="175"/>
    <x v="1"/>
    <x v="1"/>
    <x v="0"/>
    <x v="5"/>
    <n v="4"/>
    <n v="1999"/>
    <x v="155"/>
    <x v="7"/>
    <x v="0"/>
  </r>
  <r>
    <s v="ORD1395"/>
    <x v="175"/>
    <x v="8"/>
    <x v="4"/>
    <x v="0"/>
    <x v="4"/>
    <n v="3"/>
    <n v="2199"/>
    <x v="9"/>
    <x v="7"/>
    <x v="0"/>
  </r>
  <r>
    <s v="ORD1396"/>
    <x v="175"/>
    <x v="2"/>
    <x v="0"/>
    <x v="3"/>
    <x v="3"/>
    <n v="7"/>
    <n v="399"/>
    <x v="217"/>
    <x v="7"/>
    <x v="0"/>
  </r>
  <r>
    <s v="ORD1397"/>
    <x v="176"/>
    <x v="17"/>
    <x v="1"/>
    <x v="1"/>
    <x v="3"/>
    <n v="4"/>
    <n v="1799"/>
    <x v="141"/>
    <x v="7"/>
    <x v="0"/>
  </r>
  <r>
    <s v="ORD1398"/>
    <x v="176"/>
    <x v="17"/>
    <x v="1"/>
    <x v="3"/>
    <x v="2"/>
    <n v="2"/>
    <n v="1799"/>
    <x v="43"/>
    <x v="7"/>
    <x v="0"/>
  </r>
  <r>
    <s v="ORD1399"/>
    <x v="176"/>
    <x v="15"/>
    <x v="0"/>
    <x v="1"/>
    <x v="3"/>
    <n v="1"/>
    <n v="349"/>
    <x v="205"/>
    <x v="7"/>
    <x v="0"/>
  </r>
  <r>
    <s v="ORD1400"/>
    <x v="176"/>
    <x v="10"/>
    <x v="4"/>
    <x v="2"/>
    <x v="4"/>
    <n v="5"/>
    <n v="949.05"/>
    <x v="218"/>
    <x v="7"/>
    <x v="0"/>
  </r>
  <r>
    <s v="ORD1401"/>
    <x v="177"/>
    <x v="9"/>
    <x v="1"/>
    <x v="2"/>
    <x v="1"/>
    <n v="3"/>
    <n v="5499"/>
    <x v="12"/>
    <x v="7"/>
    <x v="0"/>
  </r>
  <r>
    <s v="ORD1402"/>
    <x v="177"/>
    <x v="14"/>
    <x v="4"/>
    <x v="3"/>
    <x v="2"/>
    <n v="3"/>
    <n v="1709.05"/>
    <x v="219"/>
    <x v="7"/>
    <x v="0"/>
  </r>
  <r>
    <s v="ORD1403"/>
    <x v="178"/>
    <x v="2"/>
    <x v="0"/>
    <x v="0"/>
    <x v="1"/>
    <n v="7"/>
    <n v="399"/>
    <x v="217"/>
    <x v="7"/>
    <x v="0"/>
  </r>
  <r>
    <s v="ORD1404"/>
    <x v="178"/>
    <x v="19"/>
    <x v="3"/>
    <x v="2"/>
    <x v="3"/>
    <n v="8"/>
    <n v="3299"/>
    <x v="183"/>
    <x v="7"/>
    <x v="0"/>
  </r>
  <r>
    <s v="ORD1405"/>
    <x v="179"/>
    <x v="6"/>
    <x v="2"/>
    <x v="0"/>
    <x v="0"/>
    <n v="2"/>
    <n v="799"/>
    <x v="31"/>
    <x v="7"/>
    <x v="0"/>
  </r>
  <r>
    <s v="ORD1406"/>
    <x v="180"/>
    <x v="11"/>
    <x v="3"/>
    <x v="3"/>
    <x v="5"/>
    <n v="1"/>
    <n v="3599.1"/>
    <x v="161"/>
    <x v="7"/>
    <x v="0"/>
  </r>
  <r>
    <s v="ORD1407"/>
    <x v="180"/>
    <x v="17"/>
    <x v="1"/>
    <x v="1"/>
    <x v="2"/>
    <n v="9"/>
    <n v="1799"/>
    <x v="220"/>
    <x v="7"/>
    <x v="0"/>
  </r>
  <r>
    <s v="ORD1408"/>
    <x v="181"/>
    <x v="3"/>
    <x v="1"/>
    <x v="0"/>
    <x v="3"/>
    <n v="5"/>
    <n v="2499"/>
    <x v="151"/>
    <x v="7"/>
    <x v="0"/>
  </r>
  <r>
    <s v="ORD1409"/>
    <x v="182"/>
    <x v="0"/>
    <x v="0"/>
    <x v="0"/>
    <x v="4"/>
    <n v="4"/>
    <n v="299"/>
    <x v="0"/>
    <x v="7"/>
    <x v="0"/>
  </r>
  <r>
    <s v="ORD1410"/>
    <x v="182"/>
    <x v="7"/>
    <x v="1"/>
    <x v="3"/>
    <x v="4"/>
    <n v="3"/>
    <n v="764.15"/>
    <x v="221"/>
    <x v="7"/>
    <x v="0"/>
  </r>
  <r>
    <s v="ORD1411"/>
    <x v="182"/>
    <x v="19"/>
    <x v="3"/>
    <x v="0"/>
    <x v="3"/>
    <n v="3"/>
    <n v="3134.05"/>
    <x v="222"/>
    <x v="7"/>
    <x v="0"/>
  </r>
  <r>
    <s v="ORD1412"/>
    <x v="183"/>
    <x v="18"/>
    <x v="2"/>
    <x v="3"/>
    <x v="4"/>
    <n v="5"/>
    <n v="899"/>
    <x v="11"/>
    <x v="7"/>
    <x v="0"/>
  </r>
  <r>
    <s v="ORD1413"/>
    <x v="183"/>
    <x v="15"/>
    <x v="0"/>
    <x v="1"/>
    <x v="5"/>
    <n v="3"/>
    <n v="349"/>
    <x v="24"/>
    <x v="7"/>
    <x v="0"/>
  </r>
  <r>
    <s v="ORD1414"/>
    <x v="184"/>
    <x v="5"/>
    <x v="3"/>
    <x v="2"/>
    <x v="2"/>
    <n v="3"/>
    <n v="4499"/>
    <x v="46"/>
    <x v="7"/>
    <x v="0"/>
  </r>
  <r>
    <s v="ORD1415"/>
    <x v="185"/>
    <x v="11"/>
    <x v="3"/>
    <x v="2"/>
    <x v="1"/>
    <n v="2"/>
    <n v="3799.05"/>
    <x v="223"/>
    <x v="7"/>
    <x v="0"/>
  </r>
  <r>
    <s v="ORD1416"/>
    <x v="185"/>
    <x v="13"/>
    <x v="4"/>
    <x v="2"/>
    <x v="1"/>
    <n v="5"/>
    <n v="1499"/>
    <x v="134"/>
    <x v="7"/>
    <x v="0"/>
  </r>
  <r>
    <s v="ORD1417"/>
    <x v="185"/>
    <x v="9"/>
    <x v="1"/>
    <x v="0"/>
    <x v="4"/>
    <n v="1"/>
    <n v="5224.05"/>
    <x v="224"/>
    <x v="7"/>
    <x v="0"/>
  </r>
  <r>
    <s v="ORD1418"/>
    <x v="186"/>
    <x v="15"/>
    <x v="0"/>
    <x v="1"/>
    <x v="5"/>
    <n v="7"/>
    <n v="349"/>
    <x v="225"/>
    <x v="7"/>
    <x v="0"/>
  </r>
  <r>
    <s v="ORD1419"/>
    <x v="186"/>
    <x v="19"/>
    <x v="3"/>
    <x v="3"/>
    <x v="4"/>
    <n v="5"/>
    <n v="2969.1"/>
    <x v="226"/>
    <x v="7"/>
    <x v="0"/>
  </r>
  <r>
    <s v="ORD1420"/>
    <x v="186"/>
    <x v="4"/>
    <x v="2"/>
    <x v="3"/>
    <x v="3"/>
    <n v="3"/>
    <n v="3324.05"/>
    <x v="227"/>
    <x v="7"/>
    <x v="0"/>
  </r>
  <r>
    <s v="ORD1421"/>
    <x v="186"/>
    <x v="10"/>
    <x v="4"/>
    <x v="1"/>
    <x v="0"/>
    <n v="6"/>
    <n v="999"/>
    <x v="14"/>
    <x v="7"/>
    <x v="0"/>
  </r>
  <r>
    <s v="ORD1422"/>
    <x v="187"/>
    <x v="11"/>
    <x v="3"/>
    <x v="2"/>
    <x v="0"/>
    <n v="2"/>
    <n v="3999"/>
    <x v="127"/>
    <x v="7"/>
    <x v="0"/>
  </r>
  <r>
    <s v="ORD1423"/>
    <x v="187"/>
    <x v="4"/>
    <x v="2"/>
    <x v="3"/>
    <x v="3"/>
    <n v="2"/>
    <n v="3499"/>
    <x v="112"/>
    <x v="7"/>
    <x v="0"/>
  </r>
  <r>
    <s v="ORD1424"/>
    <x v="187"/>
    <x v="17"/>
    <x v="1"/>
    <x v="3"/>
    <x v="3"/>
    <n v="6"/>
    <n v="1529.15"/>
    <x v="228"/>
    <x v="7"/>
    <x v="0"/>
  </r>
  <r>
    <s v="ORD1425"/>
    <x v="188"/>
    <x v="13"/>
    <x v="4"/>
    <x v="3"/>
    <x v="2"/>
    <n v="6"/>
    <n v="1499"/>
    <x v="199"/>
    <x v="7"/>
    <x v="0"/>
  </r>
  <r>
    <s v="ORD1426"/>
    <x v="188"/>
    <x v="16"/>
    <x v="2"/>
    <x v="2"/>
    <x v="5"/>
    <n v="1"/>
    <n v="1079.0999999999999"/>
    <x v="133"/>
    <x v="7"/>
    <x v="0"/>
  </r>
  <r>
    <s v="ORD1427"/>
    <x v="189"/>
    <x v="2"/>
    <x v="0"/>
    <x v="2"/>
    <x v="3"/>
    <n v="7"/>
    <n v="399"/>
    <x v="217"/>
    <x v="7"/>
    <x v="0"/>
  </r>
  <r>
    <s v="ORD1428"/>
    <x v="189"/>
    <x v="11"/>
    <x v="3"/>
    <x v="1"/>
    <x v="1"/>
    <n v="3"/>
    <n v="3999"/>
    <x v="209"/>
    <x v="7"/>
    <x v="0"/>
  </r>
  <r>
    <s v="ORD1429"/>
    <x v="190"/>
    <x v="15"/>
    <x v="0"/>
    <x v="0"/>
    <x v="1"/>
    <n v="5"/>
    <n v="349"/>
    <x v="63"/>
    <x v="7"/>
    <x v="0"/>
  </r>
  <r>
    <s v="ORD1430"/>
    <x v="191"/>
    <x v="1"/>
    <x v="1"/>
    <x v="2"/>
    <x v="0"/>
    <n v="1"/>
    <n v="1999"/>
    <x v="131"/>
    <x v="7"/>
    <x v="0"/>
  </r>
  <r>
    <s v="ORD1431"/>
    <x v="191"/>
    <x v="11"/>
    <x v="3"/>
    <x v="1"/>
    <x v="1"/>
    <n v="1"/>
    <n v="3999"/>
    <x v="92"/>
    <x v="7"/>
    <x v="0"/>
  </r>
  <r>
    <s v="ORD1432"/>
    <x v="192"/>
    <x v="15"/>
    <x v="0"/>
    <x v="2"/>
    <x v="0"/>
    <n v="5"/>
    <n v="349"/>
    <x v="63"/>
    <x v="7"/>
    <x v="0"/>
  </r>
  <r>
    <s v="ORD1433"/>
    <x v="192"/>
    <x v="13"/>
    <x v="4"/>
    <x v="2"/>
    <x v="0"/>
    <n v="5"/>
    <n v="1499"/>
    <x v="134"/>
    <x v="7"/>
    <x v="0"/>
  </r>
  <r>
    <s v="ORD1434"/>
    <x v="193"/>
    <x v="13"/>
    <x v="4"/>
    <x v="1"/>
    <x v="0"/>
    <n v="5"/>
    <n v="1499"/>
    <x v="134"/>
    <x v="7"/>
    <x v="0"/>
  </r>
  <r>
    <s v="ORD1435"/>
    <x v="194"/>
    <x v="15"/>
    <x v="0"/>
    <x v="0"/>
    <x v="4"/>
    <n v="7"/>
    <n v="349"/>
    <x v="225"/>
    <x v="7"/>
    <x v="0"/>
  </r>
  <r>
    <s v="ORD1436"/>
    <x v="194"/>
    <x v="0"/>
    <x v="0"/>
    <x v="0"/>
    <x v="2"/>
    <n v="1"/>
    <n v="299"/>
    <x v="108"/>
    <x v="7"/>
    <x v="0"/>
  </r>
  <r>
    <s v="ORD1437"/>
    <x v="195"/>
    <x v="17"/>
    <x v="1"/>
    <x v="0"/>
    <x v="3"/>
    <n v="2"/>
    <n v="1529.15"/>
    <x v="229"/>
    <x v="7"/>
    <x v="0"/>
  </r>
  <r>
    <s v="ORD1438"/>
    <x v="196"/>
    <x v="2"/>
    <x v="0"/>
    <x v="2"/>
    <x v="4"/>
    <n v="5"/>
    <n v="399"/>
    <x v="109"/>
    <x v="7"/>
    <x v="0"/>
  </r>
  <r>
    <s v="ORD1439"/>
    <x v="197"/>
    <x v="7"/>
    <x v="1"/>
    <x v="2"/>
    <x v="1"/>
    <n v="3"/>
    <n v="899"/>
    <x v="84"/>
    <x v="7"/>
    <x v="0"/>
  </r>
  <r>
    <s v="ORD1440"/>
    <x v="197"/>
    <x v="18"/>
    <x v="2"/>
    <x v="0"/>
    <x v="1"/>
    <n v="2"/>
    <n v="899"/>
    <x v="37"/>
    <x v="7"/>
    <x v="0"/>
  </r>
  <r>
    <s v="ORD1441"/>
    <x v="197"/>
    <x v="11"/>
    <x v="3"/>
    <x v="1"/>
    <x v="5"/>
    <n v="2"/>
    <n v="3799.05"/>
    <x v="223"/>
    <x v="7"/>
    <x v="0"/>
  </r>
  <r>
    <s v="ORD1442"/>
    <x v="197"/>
    <x v="5"/>
    <x v="3"/>
    <x v="1"/>
    <x v="4"/>
    <n v="5"/>
    <n v="4499"/>
    <x v="230"/>
    <x v="7"/>
    <x v="0"/>
  </r>
  <r>
    <s v="ORD1443"/>
    <x v="198"/>
    <x v="18"/>
    <x v="2"/>
    <x v="1"/>
    <x v="3"/>
    <n v="2"/>
    <n v="899"/>
    <x v="37"/>
    <x v="7"/>
    <x v="0"/>
  </r>
  <r>
    <s v="ORD1444"/>
    <x v="198"/>
    <x v="1"/>
    <x v="1"/>
    <x v="1"/>
    <x v="0"/>
    <n v="3"/>
    <n v="1999"/>
    <x v="79"/>
    <x v="7"/>
    <x v="0"/>
  </r>
  <r>
    <s v="ORD1445"/>
    <x v="199"/>
    <x v="7"/>
    <x v="1"/>
    <x v="2"/>
    <x v="0"/>
    <n v="4"/>
    <n v="899"/>
    <x v="7"/>
    <x v="7"/>
    <x v="0"/>
  </r>
  <r>
    <s v="ORD1446"/>
    <x v="199"/>
    <x v="3"/>
    <x v="1"/>
    <x v="0"/>
    <x v="1"/>
    <n v="1"/>
    <n v="2499"/>
    <x v="93"/>
    <x v="7"/>
    <x v="0"/>
  </r>
  <r>
    <s v="ORD1447"/>
    <x v="200"/>
    <x v="6"/>
    <x v="2"/>
    <x v="2"/>
    <x v="4"/>
    <n v="4"/>
    <n v="759.05"/>
    <x v="22"/>
    <x v="7"/>
    <x v="0"/>
  </r>
  <r>
    <s v="ORD1448"/>
    <x v="201"/>
    <x v="1"/>
    <x v="1"/>
    <x v="1"/>
    <x v="4"/>
    <n v="1"/>
    <n v="1799.1"/>
    <x v="231"/>
    <x v="7"/>
    <x v="0"/>
  </r>
  <r>
    <s v="ORD1449"/>
    <x v="202"/>
    <x v="3"/>
    <x v="1"/>
    <x v="0"/>
    <x v="2"/>
    <n v="3"/>
    <n v="2249.1"/>
    <x v="232"/>
    <x v="8"/>
    <x v="0"/>
  </r>
  <r>
    <s v="ORD1450"/>
    <x v="202"/>
    <x v="15"/>
    <x v="0"/>
    <x v="1"/>
    <x v="3"/>
    <n v="3"/>
    <n v="296.64999999999998"/>
    <x v="233"/>
    <x v="8"/>
    <x v="0"/>
  </r>
  <r>
    <s v="ORD1451"/>
    <x v="202"/>
    <x v="6"/>
    <x v="2"/>
    <x v="0"/>
    <x v="2"/>
    <n v="1"/>
    <n v="719.1"/>
    <x v="164"/>
    <x v="8"/>
    <x v="0"/>
  </r>
  <r>
    <s v="ORD1452"/>
    <x v="203"/>
    <x v="5"/>
    <x v="3"/>
    <x v="1"/>
    <x v="4"/>
    <n v="7"/>
    <n v="4499"/>
    <x v="29"/>
    <x v="8"/>
    <x v="0"/>
  </r>
  <r>
    <s v="ORD1453"/>
    <x v="203"/>
    <x v="9"/>
    <x v="1"/>
    <x v="0"/>
    <x v="4"/>
    <n v="3"/>
    <n v="5499"/>
    <x v="12"/>
    <x v="8"/>
    <x v="0"/>
  </r>
  <r>
    <s v="ORD1454"/>
    <x v="203"/>
    <x v="1"/>
    <x v="1"/>
    <x v="2"/>
    <x v="4"/>
    <n v="4"/>
    <n v="1999"/>
    <x v="155"/>
    <x v="8"/>
    <x v="0"/>
  </r>
  <r>
    <s v="ORD1455"/>
    <x v="204"/>
    <x v="6"/>
    <x v="2"/>
    <x v="0"/>
    <x v="1"/>
    <n v="2"/>
    <n v="799"/>
    <x v="31"/>
    <x v="8"/>
    <x v="0"/>
  </r>
  <r>
    <s v="ORD1456"/>
    <x v="205"/>
    <x v="16"/>
    <x v="2"/>
    <x v="1"/>
    <x v="3"/>
    <n v="6"/>
    <n v="1199"/>
    <x v="234"/>
    <x v="8"/>
    <x v="0"/>
  </r>
  <r>
    <s v="ORD1457"/>
    <x v="206"/>
    <x v="14"/>
    <x v="4"/>
    <x v="1"/>
    <x v="0"/>
    <n v="1"/>
    <n v="1799"/>
    <x v="27"/>
    <x v="8"/>
    <x v="0"/>
  </r>
  <r>
    <s v="ORD1458"/>
    <x v="207"/>
    <x v="1"/>
    <x v="1"/>
    <x v="0"/>
    <x v="4"/>
    <n v="3"/>
    <n v="1999"/>
    <x v="79"/>
    <x v="8"/>
    <x v="0"/>
  </r>
  <r>
    <s v="ORD1459"/>
    <x v="207"/>
    <x v="15"/>
    <x v="0"/>
    <x v="3"/>
    <x v="1"/>
    <n v="1"/>
    <n v="331.55"/>
    <x v="235"/>
    <x v="8"/>
    <x v="0"/>
  </r>
  <r>
    <s v="ORD1460"/>
    <x v="208"/>
    <x v="19"/>
    <x v="3"/>
    <x v="0"/>
    <x v="3"/>
    <n v="2"/>
    <n v="3299"/>
    <x v="114"/>
    <x v="8"/>
    <x v="0"/>
  </r>
  <r>
    <s v="ORD1461"/>
    <x v="209"/>
    <x v="13"/>
    <x v="4"/>
    <x v="0"/>
    <x v="4"/>
    <n v="6"/>
    <n v="1274.1500000000001"/>
    <x v="236"/>
    <x v="8"/>
    <x v="0"/>
  </r>
  <r>
    <s v="ORD1462"/>
    <x v="209"/>
    <x v="8"/>
    <x v="4"/>
    <x v="2"/>
    <x v="3"/>
    <n v="5"/>
    <n v="2199"/>
    <x v="59"/>
    <x v="8"/>
    <x v="0"/>
  </r>
  <r>
    <s v="ORD1463"/>
    <x v="209"/>
    <x v="9"/>
    <x v="1"/>
    <x v="1"/>
    <x v="3"/>
    <n v="2"/>
    <n v="5499"/>
    <x v="157"/>
    <x v="8"/>
    <x v="0"/>
  </r>
  <r>
    <s v="ORD1464"/>
    <x v="210"/>
    <x v="6"/>
    <x v="2"/>
    <x v="1"/>
    <x v="0"/>
    <n v="4"/>
    <n v="799"/>
    <x v="166"/>
    <x v="8"/>
    <x v="0"/>
  </r>
  <r>
    <s v="ORD1465"/>
    <x v="210"/>
    <x v="9"/>
    <x v="1"/>
    <x v="1"/>
    <x v="5"/>
    <n v="1"/>
    <n v="4949.1000000000004"/>
    <x v="237"/>
    <x v="8"/>
    <x v="0"/>
  </r>
  <r>
    <s v="ORD1466"/>
    <x v="211"/>
    <x v="19"/>
    <x v="3"/>
    <x v="2"/>
    <x v="3"/>
    <n v="1"/>
    <n v="2804.15"/>
    <x v="238"/>
    <x v="8"/>
    <x v="0"/>
  </r>
  <r>
    <s v="ORD1467"/>
    <x v="211"/>
    <x v="14"/>
    <x v="4"/>
    <x v="3"/>
    <x v="2"/>
    <n v="6"/>
    <n v="1799"/>
    <x v="91"/>
    <x v="8"/>
    <x v="0"/>
  </r>
  <r>
    <s v="ORD1468"/>
    <x v="212"/>
    <x v="0"/>
    <x v="0"/>
    <x v="3"/>
    <x v="0"/>
    <n v="7"/>
    <n v="284.05"/>
    <x v="239"/>
    <x v="8"/>
    <x v="0"/>
  </r>
  <r>
    <s v="ORD1469"/>
    <x v="213"/>
    <x v="10"/>
    <x v="4"/>
    <x v="1"/>
    <x v="4"/>
    <n v="1"/>
    <n v="999"/>
    <x v="106"/>
    <x v="8"/>
    <x v="0"/>
  </r>
  <r>
    <s v="ORD1470"/>
    <x v="214"/>
    <x v="7"/>
    <x v="1"/>
    <x v="2"/>
    <x v="1"/>
    <n v="1"/>
    <n v="764.15"/>
    <x v="240"/>
    <x v="8"/>
    <x v="0"/>
  </r>
  <r>
    <s v="ORD1471"/>
    <x v="214"/>
    <x v="11"/>
    <x v="3"/>
    <x v="2"/>
    <x v="1"/>
    <n v="2"/>
    <n v="3599.1"/>
    <x v="241"/>
    <x v="8"/>
    <x v="0"/>
  </r>
  <r>
    <s v="ORD1472"/>
    <x v="215"/>
    <x v="13"/>
    <x v="4"/>
    <x v="2"/>
    <x v="4"/>
    <n v="8"/>
    <n v="1499"/>
    <x v="39"/>
    <x v="8"/>
    <x v="0"/>
  </r>
  <r>
    <s v="ORD1473"/>
    <x v="216"/>
    <x v="3"/>
    <x v="1"/>
    <x v="3"/>
    <x v="4"/>
    <n v="5"/>
    <n v="2249.1"/>
    <x v="242"/>
    <x v="8"/>
    <x v="0"/>
  </r>
  <r>
    <s v="ORD1474"/>
    <x v="216"/>
    <x v="13"/>
    <x v="4"/>
    <x v="1"/>
    <x v="3"/>
    <n v="4"/>
    <n v="1499"/>
    <x v="98"/>
    <x v="8"/>
    <x v="0"/>
  </r>
  <r>
    <s v="ORD1475"/>
    <x v="216"/>
    <x v="16"/>
    <x v="2"/>
    <x v="2"/>
    <x v="1"/>
    <n v="3"/>
    <n v="1139.05"/>
    <x v="243"/>
    <x v="8"/>
    <x v="0"/>
  </r>
  <r>
    <s v="ORD1476"/>
    <x v="216"/>
    <x v="2"/>
    <x v="0"/>
    <x v="0"/>
    <x v="2"/>
    <n v="1"/>
    <n v="399"/>
    <x v="189"/>
    <x v="8"/>
    <x v="0"/>
  </r>
  <r>
    <s v="ORD1477"/>
    <x v="217"/>
    <x v="4"/>
    <x v="2"/>
    <x v="3"/>
    <x v="2"/>
    <n v="1"/>
    <n v="3149.1"/>
    <x v="244"/>
    <x v="8"/>
    <x v="0"/>
  </r>
  <r>
    <s v="ORD1478"/>
    <x v="218"/>
    <x v="8"/>
    <x v="4"/>
    <x v="2"/>
    <x v="4"/>
    <n v="1"/>
    <n v="2199"/>
    <x v="245"/>
    <x v="8"/>
    <x v="0"/>
  </r>
  <r>
    <s v="ORD1479"/>
    <x v="218"/>
    <x v="6"/>
    <x v="2"/>
    <x v="1"/>
    <x v="0"/>
    <n v="3"/>
    <n v="799"/>
    <x v="20"/>
    <x v="8"/>
    <x v="0"/>
  </r>
  <r>
    <s v="ORD1480"/>
    <x v="219"/>
    <x v="9"/>
    <x v="1"/>
    <x v="1"/>
    <x v="1"/>
    <n v="5"/>
    <n v="5499"/>
    <x v="34"/>
    <x v="8"/>
    <x v="0"/>
  </r>
  <r>
    <s v="ORD1481"/>
    <x v="219"/>
    <x v="16"/>
    <x v="2"/>
    <x v="3"/>
    <x v="1"/>
    <n v="3"/>
    <n v="1019.15"/>
    <x v="246"/>
    <x v="8"/>
    <x v="0"/>
  </r>
  <r>
    <s v="ORD1482"/>
    <x v="220"/>
    <x v="9"/>
    <x v="1"/>
    <x v="1"/>
    <x v="2"/>
    <n v="2"/>
    <n v="5499"/>
    <x v="157"/>
    <x v="8"/>
    <x v="0"/>
  </r>
  <r>
    <s v="ORD1483"/>
    <x v="220"/>
    <x v="1"/>
    <x v="1"/>
    <x v="2"/>
    <x v="4"/>
    <n v="1"/>
    <n v="1999"/>
    <x v="131"/>
    <x v="8"/>
    <x v="0"/>
  </r>
  <r>
    <s v="ORD1484"/>
    <x v="220"/>
    <x v="1"/>
    <x v="1"/>
    <x v="2"/>
    <x v="4"/>
    <n v="4"/>
    <n v="1999"/>
    <x v="155"/>
    <x v="8"/>
    <x v="0"/>
  </r>
  <r>
    <s v="ORD1485"/>
    <x v="220"/>
    <x v="1"/>
    <x v="1"/>
    <x v="0"/>
    <x v="0"/>
    <n v="8"/>
    <n v="1899.05"/>
    <x v="247"/>
    <x v="8"/>
    <x v="0"/>
  </r>
  <r>
    <s v="ORD1486"/>
    <x v="220"/>
    <x v="1"/>
    <x v="1"/>
    <x v="2"/>
    <x v="2"/>
    <n v="6"/>
    <n v="1999"/>
    <x v="81"/>
    <x v="8"/>
    <x v="0"/>
  </r>
  <r>
    <s v="ORD1487"/>
    <x v="221"/>
    <x v="16"/>
    <x v="2"/>
    <x v="2"/>
    <x v="3"/>
    <n v="2"/>
    <n v="1199"/>
    <x v="76"/>
    <x v="8"/>
    <x v="0"/>
  </r>
  <r>
    <s v="ORD1488"/>
    <x v="222"/>
    <x v="5"/>
    <x v="3"/>
    <x v="3"/>
    <x v="0"/>
    <n v="5"/>
    <n v="4499"/>
    <x v="230"/>
    <x v="8"/>
    <x v="0"/>
  </r>
  <r>
    <s v="ORD1489"/>
    <x v="222"/>
    <x v="7"/>
    <x v="1"/>
    <x v="3"/>
    <x v="3"/>
    <n v="5"/>
    <n v="899"/>
    <x v="11"/>
    <x v="8"/>
    <x v="0"/>
  </r>
  <r>
    <s v="ORD1490"/>
    <x v="222"/>
    <x v="5"/>
    <x v="3"/>
    <x v="1"/>
    <x v="4"/>
    <n v="6"/>
    <n v="4499"/>
    <x v="159"/>
    <x v="8"/>
    <x v="0"/>
  </r>
  <r>
    <s v="ORD1491"/>
    <x v="222"/>
    <x v="6"/>
    <x v="2"/>
    <x v="0"/>
    <x v="1"/>
    <n v="5"/>
    <n v="799"/>
    <x v="32"/>
    <x v="8"/>
    <x v="0"/>
  </r>
  <r>
    <s v="ORD1492"/>
    <x v="223"/>
    <x v="19"/>
    <x v="3"/>
    <x v="1"/>
    <x v="5"/>
    <n v="1"/>
    <n v="2969.1"/>
    <x v="248"/>
    <x v="8"/>
    <x v="0"/>
  </r>
  <r>
    <s v="ORD1493"/>
    <x v="224"/>
    <x v="11"/>
    <x v="3"/>
    <x v="1"/>
    <x v="4"/>
    <n v="10"/>
    <n v="3999"/>
    <x v="249"/>
    <x v="9"/>
    <x v="0"/>
  </r>
  <r>
    <s v="ORD1494"/>
    <x v="225"/>
    <x v="2"/>
    <x v="0"/>
    <x v="3"/>
    <x v="1"/>
    <n v="2"/>
    <n v="359.1"/>
    <x v="250"/>
    <x v="9"/>
    <x v="0"/>
  </r>
  <r>
    <s v="ORD1495"/>
    <x v="225"/>
    <x v="7"/>
    <x v="1"/>
    <x v="3"/>
    <x v="1"/>
    <n v="5"/>
    <n v="809.1"/>
    <x v="251"/>
    <x v="9"/>
    <x v="0"/>
  </r>
  <r>
    <s v="ORD1496"/>
    <x v="226"/>
    <x v="5"/>
    <x v="3"/>
    <x v="0"/>
    <x v="2"/>
    <n v="5"/>
    <n v="4274.05"/>
    <x v="252"/>
    <x v="9"/>
    <x v="0"/>
  </r>
  <r>
    <s v="ORD1497"/>
    <x v="226"/>
    <x v="8"/>
    <x v="4"/>
    <x v="0"/>
    <x v="0"/>
    <n v="9"/>
    <n v="2199"/>
    <x v="174"/>
    <x v="9"/>
    <x v="0"/>
  </r>
  <r>
    <s v="ORD1498"/>
    <x v="227"/>
    <x v="17"/>
    <x v="1"/>
    <x v="1"/>
    <x v="0"/>
    <n v="6"/>
    <n v="1799"/>
    <x v="91"/>
    <x v="9"/>
    <x v="0"/>
  </r>
  <r>
    <s v="ORD1499"/>
    <x v="227"/>
    <x v="17"/>
    <x v="1"/>
    <x v="3"/>
    <x v="1"/>
    <n v="7"/>
    <n v="1799"/>
    <x v="52"/>
    <x v="9"/>
    <x v="0"/>
  </r>
  <r>
    <s v="ORD1500"/>
    <x v="227"/>
    <x v="9"/>
    <x v="1"/>
    <x v="2"/>
    <x v="3"/>
    <n v="3"/>
    <n v="5499"/>
    <x v="12"/>
    <x v="9"/>
    <x v="0"/>
  </r>
  <r>
    <s v="ORD1501"/>
    <x v="228"/>
    <x v="15"/>
    <x v="0"/>
    <x v="1"/>
    <x v="1"/>
    <n v="9"/>
    <n v="349"/>
    <x v="253"/>
    <x v="9"/>
    <x v="0"/>
  </r>
  <r>
    <s v="ORD1502"/>
    <x v="228"/>
    <x v="19"/>
    <x v="3"/>
    <x v="1"/>
    <x v="2"/>
    <n v="4"/>
    <n v="3299"/>
    <x v="61"/>
    <x v="9"/>
    <x v="0"/>
  </r>
  <r>
    <s v="ORD1503"/>
    <x v="229"/>
    <x v="4"/>
    <x v="2"/>
    <x v="2"/>
    <x v="5"/>
    <n v="9"/>
    <n v="3499"/>
    <x v="254"/>
    <x v="9"/>
    <x v="0"/>
  </r>
  <r>
    <s v="ORD1504"/>
    <x v="230"/>
    <x v="12"/>
    <x v="3"/>
    <x v="2"/>
    <x v="2"/>
    <n v="4"/>
    <n v="1299"/>
    <x v="80"/>
    <x v="9"/>
    <x v="0"/>
  </r>
  <r>
    <s v="ORD1505"/>
    <x v="231"/>
    <x v="10"/>
    <x v="4"/>
    <x v="0"/>
    <x v="4"/>
    <n v="6"/>
    <n v="949.05"/>
    <x v="255"/>
    <x v="9"/>
    <x v="0"/>
  </r>
  <r>
    <s v="ORD1506"/>
    <x v="231"/>
    <x v="6"/>
    <x v="2"/>
    <x v="1"/>
    <x v="5"/>
    <n v="1"/>
    <n v="799"/>
    <x v="74"/>
    <x v="9"/>
    <x v="0"/>
  </r>
  <r>
    <s v="ORD1507"/>
    <x v="232"/>
    <x v="3"/>
    <x v="1"/>
    <x v="2"/>
    <x v="3"/>
    <n v="9"/>
    <n v="2499"/>
    <x v="256"/>
    <x v="9"/>
    <x v="0"/>
  </r>
  <r>
    <s v="ORD1508"/>
    <x v="232"/>
    <x v="3"/>
    <x v="1"/>
    <x v="2"/>
    <x v="1"/>
    <n v="12"/>
    <n v="2249.1"/>
    <x v="257"/>
    <x v="9"/>
    <x v="0"/>
  </r>
  <r>
    <s v="ORD1509"/>
    <x v="233"/>
    <x v="11"/>
    <x v="3"/>
    <x v="2"/>
    <x v="3"/>
    <n v="1"/>
    <n v="3999"/>
    <x v="92"/>
    <x v="9"/>
    <x v="0"/>
  </r>
  <r>
    <s v="ORD1510"/>
    <x v="233"/>
    <x v="0"/>
    <x v="0"/>
    <x v="2"/>
    <x v="3"/>
    <n v="3"/>
    <n v="299"/>
    <x v="64"/>
    <x v="9"/>
    <x v="0"/>
  </r>
  <r>
    <s v="ORD1511"/>
    <x v="234"/>
    <x v="16"/>
    <x v="2"/>
    <x v="2"/>
    <x v="5"/>
    <n v="8"/>
    <n v="1139.05"/>
    <x v="258"/>
    <x v="9"/>
    <x v="0"/>
  </r>
  <r>
    <s v="ORD1512"/>
    <x v="234"/>
    <x v="15"/>
    <x v="0"/>
    <x v="0"/>
    <x v="5"/>
    <n v="2"/>
    <n v="349"/>
    <x v="200"/>
    <x v="9"/>
    <x v="0"/>
  </r>
  <r>
    <s v="ORD1513"/>
    <x v="235"/>
    <x v="17"/>
    <x v="1"/>
    <x v="2"/>
    <x v="1"/>
    <n v="2"/>
    <n v="1799"/>
    <x v="43"/>
    <x v="9"/>
    <x v="0"/>
  </r>
  <r>
    <s v="ORD1514"/>
    <x v="235"/>
    <x v="17"/>
    <x v="1"/>
    <x v="0"/>
    <x v="5"/>
    <n v="2"/>
    <n v="1709.05"/>
    <x v="259"/>
    <x v="9"/>
    <x v="0"/>
  </r>
  <r>
    <s v="ORD1515"/>
    <x v="236"/>
    <x v="3"/>
    <x v="1"/>
    <x v="2"/>
    <x v="2"/>
    <n v="7"/>
    <n v="2499"/>
    <x v="139"/>
    <x v="9"/>
    <x v="0"/>
  </r>
  <r>
    <s v="ORD1516"/>
    <x v="237"/>
    <x v="3"/>
    <x v="1"/>
    <x v="1"/>
    <x v="5"/>
    <n v="4"/>
    <n v="2499"/>
    <x v="60"/>
    <x v="9"/>
    <x v="0"/>
  </r>
  <r>
    <s v="ORD1517"/>
    <x v="237"/>
    <x v="14"/>
    <x v="4"/>
    <x v="1"/>
    <x v="0"/>
    <n v="7"/>
    <n v="1799"/>
    <x v="52"/>
    <x v="9"/>
    <x v="0"/>
  </r>
  <r>
    <s v="ORD1518"/>
    <x v="238"/>
    <x v="0"/>
    <x v="0"/>
    <x v="0"/>
    <x v="0"/>
    <n v="8"/>
    <n v="299"/>
    <x v="69"/>
    <x v="9"/>
    <x v="0"/>
  </r>
  <r>
    <s v="ORD1519"/>
    <x v="238"/>
    <x v="10"/>
    <x v="4"/>
    <x v="1"/>
    <x v="2"/>
    <n v="5"/>
    <n v="999"/>
    <x v="90"/>
    <x v="9"/>
    <x v="0"/>
  </r>
  <r>
    <s v="ORD1520"/>
    <x v="239"/>
    <x v="15"/>
    <x v="0"/>
    <x v="2"/>
    <x v="4"/>
    <n v="3"/>
    <n v="349"/>
    <x v="24"/>
    <x v="9"/>
    <x v="0"/>
  </r>
  <r>
    <s v="ORD1521"/>
    <x v="239"/>
    <x v="8"/>
    <x v="4"/>
    <x v="3"/>
    <x v="3"/>
    <n v="5"/>
    <n v="2199"/>
    <x v="59"/>
    <x v="9"/>
    <x v="0"/>
  </r>
  <r>
    <s v="ORD1522"/>
    <x v="239"/>
    <x v="16"/>
    <x v="2"/>
    <x v="2"/>
    <x v="1"/>
    <n v="1"/>
    <n v="1199"/>
    <x v="58"/>
    <x v="9"/>
    <x v="0"/>
  </r>
  <r>
    <s v="ORD1523"/>
    <x v="240"/>
    <x v="7"/>
    <x v="1"/>
    <x v="2"/>
    <x v="1"/>
    <n v="7"/>
    <n v="899"/>
    <x v="105"/>
    <x v="9"/>
    <x v="0"/>
  </r>
  <r>
    <s v="ORD1524"/>
    <x v="240"/>
    <x v="8"/>
    <x v="4"/>
    <x v="0"/>
    <x v="3"/>
    <n v="9"/>
    <n v="2199"/>
    <x v="174"/>
    <x v="9"/>
    <x v="0"/>
  </r>
  <r>
    <s v="ORD1525"/>
    <x v="241"/>
    <x v="6"/>
    <x v="2"/>
    <x v="2"/>
    <x v="4"/>
    <n v="3"/>
    <n v="799"/>
    <x v="20"/>
    <x v="9"/>
    <x v="0"/>
  </r>
  <r>
    <s v="ORD1526"/>
    <x v="241"/>
    <x v="16"/>
    <x v="2"/>
    <x v="1"/>
    <x v="0"/>
    <n v="1"/>
    <n v="1199"/>
    <x v="58"/>
    <x v="9"/>
    <x v="0"/>
  </r>
  <r>
    <s v="ORD1527"/>
    <x v="242"/>
    <x v="5"/>
    <x v="3"/>
    <x v="0"/>
    <x v="0"/>
    <n v="9"/>
    <n v="4499"/>
    <x v="260"/>
    <x v="9"/>
    <x v="0"/>
  </r>
  <r>
    <s v="ORD1528"/>
    <x v="242"/>
    <x v="17"/>
    <x v="1"/>
    <x v="2"/>
    <x v="2"/>
    <n v="5"/>
    <n v="1799"/>
    <x v="75"/>
    <x v="9"/>
    <x v="0"/>
  </r>
  <r>
    <s v="ORD1529"/>
    <x v="243"/>
    <x v="9"/>
    <x v="1"/>
    <x v="2"/>
    <x v="1"/>
    <n v="8"/>
    <n v="4949.1000000000004"/>
    <x v="261"/>
    <x v="9"/>
    <x v="0"/>
  </r>
  <r>
    <s v="ORD1530"/>
    <x v="244"/>
    <x v="18"/>
    <x v="2"/>
    <x v="1"/>
    <x v="1"/>
    <n v="3"/>
    <n v="764.15"/>
    <x v="221"/>
    <x v="9"/>
    <x v="0"/>
  </r>
  <r>
    <s v="ORD1531"/>
    <x v="244"/>
    <x v="9"/>
    <x v="1"/>
    <x v="0"/>
    <x v="2"/>
    <n v="11"/>
    <n v="5499"/>
    <x v="262"/>
    <x v="9"/>
    <x v="0"/>
  </r>
  <r>
    <s v="ORD1532"/>
    <x v="245"/>
    <x v="6"/>
    <x v="2"/>
    <x v="0"/>
    <x v="1"/>
    <n v="5"/>
    <n v="799"/>
    <x v="32"/>
    <x v="9"/>
    <x v="0"/>
  </r>
  <r>
    <s v="ORD1533"/>
    <x v="246"/>
    <x v="16"/>
    <x v="2"/>
    <x v="2"/>
    <x v="4"/>
    <n v="9"/>
    <n v="1199"/>
    <x v="263"/>
    <x v="9"/>
    <x v="0"/>
  </r>
  <r>
    <s v="ORD1534"/>
    <x v="247"/>
    <x v="12"/>
    <x v="3"/>
    <x v="3"/>
    <x v="5"/>
    <n v="1"/>
    <n v="1299"/>
    <x v="40"/>
    <x v="9"/>
    <x v="0"/>
  </r>
  <r>
    <s v="ORD1535"/>
    <x v="247"/>
    <x v="1"/>
    <x v="1"/>
    <x v="1"/>
    <x v="3"/>
    <n v="9"/>
    <n v="1999"/>
    <x v="264"/>
    <x v="9"/>
    <x v="0"/>
  </r>
  <r>
    <s v="ORD1536"/>
    <x v="248"/>
    <x v="9"/>
    <x v="1"/>
    <x v="0"/>
    <x v="3"/>
    <n v="11"/>
    <n v="5499"/>
    <x v="262"/>
    <x v="9"/>
    <x v="0"/>
  </r>
  <r>
    <s v="ORD1537"/>
    <x v="248"/>
    <x v="7"/>
    <x v="1"/>
    <x v="0"/>
    <x v="5"/>
    <n v="9"/>
    <n v="899"/>
    <x v="265"/>
    <x v="9"/>
    <x v="0"/>
  </r>
  <r>
    <s v="ORD1538"/>
    <x v="248"/>
    <x v="1"/>
    <x v="1"/>
    <x v="1"/>
    <x v="5"/>
    <n v="1"/>
    <n v="1999"/>
    <x v="131"/>
    <x v="9"/>
    <x v="0"/>
  </r>
  <r>
    <s v="ORD1539"/>
    <x v="249"/>
    <x v="1"/>
    <x v="1"/>
    <x v="2"/>
    <x v="2"/>
    <n v="3"/>
    <n v="1999"/>
    <x v="79"/>
    <x v="9"/>
    <x v="0"/>
  </r>
  <r>
    <s v="ORD1540"/>
    <x v="250"/>
    <x v="12"/>
    <x v="3"/>
    <x v="0"/>
    <x v="1"/>
    <n v="10"/>
    <n v="1299"/>
    <x v="266"/>
    <x v="9"/>
    <x v="0"/>
  </r>
  <r>
    <s v="ORD1541"/>
    <x v="250"/>
    <x v="6"/>
    <x v="2"/>
    <x v="3"/>
    <x v="3"/>
    <n v="12"/>
    <n v="799"/>
    <x v="267"/>
    <x v="9"/>
    <x v="0"/>
  </r>
  <r>
    <s v="ORD1542"/>
    <x v="250"/>
    <x v="15"/>
    <x v="0"/>
    <x v="0"/>
    <x v="4"/>
    <n v="5"/>
    <n v="349"/>
    <x v="63"/>
    <x v="9"/>
    <x v="0"/>
  </r>
  <r>
    <s v="ORD1543"/>
    <x v="250"/>
    <x v="6"/>
    <x v="2"/>
    <x v="0"/>
    <x v="2"/>
    <n v="3"/>
    <n v="799"/>
    <x v="20"/>
    <x v="9"/>
    <x v="0"/>
  </r>
  <r>
    <s v="ORD1544"/>
    <x v="251"/>
    <x v="12"/>
    <x v="3"/>
    <x v="0"/>
    <x v="0"/>
    <n v="2"/>
    <n v="1299"/>
    <x v="87"/>
    <x v="10"/>
    <x v="0"/>
  </r>
  <r>
    <s v="ORD1545"/>
    <x v="251"/>
    <x v="4"/>
    <x v="2"/>
    <x v="1"/>
    <x v="4"/>
    <n v="6"/>
    <n v="3499"/>
    <x v="4"/>
    <x v="10"/>
    <x v="0"/>
  </r>
  <r>
    <s v="ORD1546"/>
    <x v="251"/>
    <x v="13"/>
    <x v="4"/>
    <x v="1"/>
    <x v="3"/>
    <n v="5"/>
    <n v="1424.05"/>
    <x v="268"/>
    <x v="10"/>
    <x v="0"/>
  </r>
  <r>
    <s v="ORD1547"/>
    <x v="252"/>
    <x v="11"/>
    <x v="3"/>
    <x v="3"/>
    <x v="5"/>
    <n v="1"/>
    <n v="3999"/>
    <x v="92"/>
    <x v="10"/>
    <x v="0"/>
  </r>
  <r>
    <s v="ORD1548"/>
    <x v="253"/>
    <x v="17"/>
    <x v="1"/>
    <x v="3"/>
    <x v="2"/>
    <n v="6"/>
    <n v="1529.15"/>
    <x v="228"/>
    <x v="10"/>
    <x v="0"/>
  </r>
  <r>
    <s v="ORD1549"/>
    <x v="253"/>
    <x v="13"/>
    <x v="4"/>
    <x v="1"/>
    <x v="5"/>
    <n v="8"/>
    <n v="1499"/>
    <x v="39"/>
    <x v="10"/>
    <x v="0"/>
  </r>
  <r>
    <s v="ORD1550"/>
    <x v="254"/>
    <x v="5"/>
    <x v="3"/>
    <x v="2"/>
    <x v="5"/>
    <n v="7"/>
    <n v="4499"/>
    <x v="29"/>
    <x v="10"/>
    <x v="0"/>
  </r>
  <r>
    <s v="ORD1551"/>
    <x v="255"/>
    <x v="19"/>
    <x v="3"/>
    <x v="3"/>
    <x v="4"/>
    <n v="11"/>
    <n v="2969.1"/>
    <x v="269"/>
    <x v="10"/>
    <x v="0"/>
  </r>
  <r>
    <s v="ORD1552"/>
    <x v="255"/>
    <x v="11"/>
    <x v="3"/>
    <x v="2"/>
    <x v="0"/>
    <n v="9"/>
    <n v="3399.15"/>
    <x v="270"/>
    <x v="10"/>
    <x v="0"/>
  </r>
  <r>
    <s v="ORD1553"/>
    <x v="256"/>
    <x v="3"/>
    <x v="1"/>
    <x v="2"/>
    <x v="2"/>
    <n v="2"/>
    <n v="2124.15"/>
    <x v="271"/>
    <x v="10"/>
    <x v="0"/>
  </r>
  <r>
    <s v="ORD1554"/>
    <x v="256"/>
    <x v="15"/>
    <x v="0"/>
    <x v="0"/>
    <x v="3"/>
    <n v="3"/>
    <n v="349"/>
    <x v="24"/>
    <x v="10"/>
    <x v="0"/>
  </r>
  <r>
    <s v="ORD1555"/>
    <x v="257"/>
    <x v="1"/>
    <x v="1"/>
    <x v="2"/>
    <x v="0"/>
    <n v="7"/>
    <n v="1999"/>
    <x v="146"/>
    <x v="10"/>
    <x v="0"/>
  </r>
  <r>
    <s v="ORD1556"/>
    <x v="257"/>
    <x v="19"/>
    <x v="3"/>
    <x v="2"/>
    <x v="5"/>
    <n v="8"/>
    <n v="3299"/>
    <x v="183"/>
    <x v="10"/>
    <x v="0"/>
  </r>
  <r>
    <s v="ORD1557"/>
    <x v="258"/>
    <x v="8"/>
    <x v="4"/>
    <x v="3"/>
    <x v="2"/>
    <n v="1"/>
    <n v="2199"/>
    <x v="245"/>
    <x v="10"/>
    <x v="0"/>
  </r>
  <r>
    <s v="ORD1558"/>
    <x v="258"/>
    <x v="3"/>
    <x v="1"/>
    <x v="3"/>
    <x v="5"/>
    <n v="10"/>
    <n v="2374.0500000000002"/>
    <x v="272"/>
    <x v="10"/>
    <x v="0"/>
  </r>
  <r>
    <s v="ORD1559"/>
    <x v="258"/>
    <x v="12"/>
    <x v="3"/>
    <x v="2"/>
    <x v="1"/>
    <n v="8"/>
    <n v="1299"/>
    <x v="273"/>
    <x v="10"/>
    <x v="0"/>
  </r>
  <r>
    <s v="ORD1560"/>
    <x v="258"/>
    <x v="1"/>
    <x v="1"/>
    <x v="2"/>
    <x v="3"/>
    <n v="2"/>
    <n v="1999"/>
    <x v="178"/>
    <x v="10"/>
    <x v="0"/>
  </r>
  <r>
    <s v="ORD1561"/>
    <x v="259"/>
    <x v="14"/>
    <x v="4"/>
    <x v="0"/>
    <x v="1"/>
    <n v="1"/>
    <n v="1799"/>
    <x v="27"/>
    <x v="10"/>
    <x v="0"/>
  </r>
  <r>
    <s v="ORD1562"/>
    <x v="259"/>
    <x v="4"/>
    <x v="2"/>
    <x v="0"/>
    <x v="1"/>
    <n v="3"/>
    <n v="3499"/>
    <x v="82"/>
    <x v="10"/>
    <x v="0"/>
  </r>
  <r>
    <s v="ORD1563"/>
    <x v="260"/>
    <x v="7"/>
    <x v="1"/>
    <x v="0"/>
    <x v="3"/>
    <n v="9"/>
    <n v="899"/>
    <x v="265"/>
    <x v="10"/>
    <x v="0"/>
  </r>
  <r>
    <s v="ORD1564"/>
    <x v="260"/>
    <x v="19"/>
    <x v="3"/>
    <x v="2"/>
    <x v="0"/>
    <n v="9"/>
    <n v="3299"/>
    <x v="274"/>
    <x v="10"/>
    <x v="0"/>
  </r>
  <r>
    <s v="ORD1565"/>
    <x v="260"/>
    <x v="4"/>
    <x v="2"/>
    <x v="1"/>
    <x v="1"/>
    <n v="2"/>
    <n v="3499"/>
    <x v="112"/>
    <x v="10"/>
    <x v="0"/>
  </r>
  <r>
    <s v="ORD1566"/>
    <x v="260"/>
    <x v="1"/>
    <x v="1"/>
    <x v="2"/>
    <x v="1"/>
    <n v="7"/>
    <n v="1999"/>
    <x v="146"/>
    <x v="10"/>
    <x v="0"/>
  </r>
  <r>
    <s v="ORD1567"/>
    <x v="261"/>
    <x v="18"/>
    <x v="2"/>
    <x v="2"/>
    <x v="0"/>
    <n v="1"/>
    <n v="764.15"/>
    <x v="240"/>
    <x v="10"/>
    <x v="0"/>
  </r>
  <r>
    <s v="ORD1568"/>
    <x v="261"/>
    <x v="16"/>
    <x v="2"/>
    <x v="1"/>
    <x v="2"/>
    <n v="9"/>
    <n v="1199"/>
    <x v="263"/>
    <x v="10"/>
    <x v="0"/>
  </r>
  <r>
    <s v="ORD1569"/>
    <x v="262"/>
    <x v="13"/>
    <x v="4"/>
    <x v="3"/>
    <x v="3"/>
    <n v="9"/>
    <n v="1499"/>
    <x v="215"/>
    <x v="10"/>
    <x v="0"/>
  </r>
  <r>
    <s v="ORD1570"/>
    <x v="262"/>
    <x v="18"/>
    <x v="2"/>
    <x v="1"/>
    <x v="4"/>
    <n v="1"/>
    <n v="899"/>
    <x v="28"/>
    <x v="10"/>
    <x v="0"/>
  </r>
  <r>
    <s v="ORD1571"/>
    <x v="262"/>
    <x v="2"/>
    <x v="0"/>
    <x v="0"/>
    <x v="0"/>
    <n v="8"/>
    <n v="399"/>
    <x v="2"/>
    <x v="10"/>
    <x v="0"/>
  </r>
  <r>
    <s v="ORD1572"/>
    <x v="263"/>
    <x v="9"/>
    <x v="1"/>
    <x v="2"/>
    <x v="4"/>
    <n v="12"/>
    <n v="5499"/>
    <x v="275"/>
    <x v="10"/>
    <x v="0"/>
  </r>
  <r>
    <s v="ORD1573"/>
    <x v="264"/>
    <x v="10"/>
    <x v="4"/>
    <x v="2"/>
    <x v="3"/>
    <n v="1"/>
    <n v="949.05"/>
    <x v="124"/>
    <x v="10"/>
    <x v="0"/>
  </r>
  <r>
    <s v="ORD1574"/>
    <x v="264"/>
    <x v="2"/>
    <x v="0"/>
    <x v="0"/>
    <x v="2"/>
    <n v="4"/>
    <n v="359.1"/>
    <x v="276"/>
    <x v="10"/>
    <x v="0"/>
  </r>
  <r>
    <s v="ORD1575"/>
    <x v="264"/>
    <x v="8"/>
    <x v="4"/>
    <x v="1"/>
    <x v="0"/>
    <n v="4"/>
    <n v="1979.1"/>
    <x v="277"/>
    <x v="10"/>
    <x v="0"/>
  </r>
  <r>
    <s v="ORD1576"/>
    <x v="265"/>
    <x v="12"/>
    <x v="3"/>
    <x v="3"/>
    <x v="3"/>
    <n v="8"/>
    <n v="1299"/>
    <x v="273"/>
    <x v="10"/>
    <x v="0"/>
  </r>
  <r>
    <s v="ORD1577"/>
    <x v="266"/>
    <x v="10"/>
    <x v="4"/>
    <x v="0"/>
    <x v="5"/>
    <n v="1"/>
    <n v="999"/>
    <x v="106"/>
    <x v="10"/>
    <x v="0"/>
  </r>
  <r>
    <s v="ORD1578"/>
    <x v="267"/>
    <x v="1"/>
    <x v="1"/>
    <x v="1"/>
    <x v="1"/>
    <n v="8"/>
    <n v="1999"/>
    <x v="278"/>
    <x v="10"/>
    <x v="0"/>
  </r>
  <r>
    <s v="ORD1579"/>
    <x v="267"/>
    <x v="7"/>
    <x v="1"/>
    <x v="1"/>
    <x v="5"/>
    <n v="1"/>
    <n v="899"/>
    <x v="28"/>
    <x v="10"/>
    <x v="0"/>
  </r>
  <r>
    <s v="ORD1580"/>
    <x v="268"/>
    <x v="11"/>
    <x v="3"/>
    <x v="2"/>
    <x v="3"/>
    <n v="4"/>
    <n v="3799.05"/>
    <x v="15"/>
    <x v="10"/>
    <x v="0"/>
  </r>
  <r>
    <s v="ORD1581"/>
    <x v="268"/>
    <x v="0"/>
    <x v="0"/>
    <x v="3"/>
    <x v="3"/>
    <n v="4"/>
    <n v="299"/>
    <x v="0"/>
    <x v="10"/>
    <x v="0"/>
  </r>
  <r>
    <s v="ORD1582"/>
    <x v="269"/>
    <x v="1"/>
    <x v="1"/>
    <x v="3"/>
    <x v="3"/>
    <n v="4"/>
    <n v="1999"/>
    <x v="155"/>
    <x v="10"/>
    <x v="0"/>
  </r>
  <r>
    <s v="ORD1583"/>
    <x v="270"/>
    <x v="17"/>
    <x v="1"/>
    <x v="3"/>
    <x v="0"/>
    <n v="1"/>
    <n v="1799"/>
    <x v="27"/>
    <x v="10"/>
    <x v="0"/>
  </r>
  <r>
    <s v="ORD1584"/>
    <x v="270"/>
    <x v="6"/>
    <x v="2"/>
    <x v="2"/>
    <x v="2"/>
    <n v="11"/>
    <n v="799"/>
    <x v="279"/>
    <x v="10"/>
    <x v="0"/>
  </r>
  <r>
    <s v="ORD1585"/>
    <x v="271"/>
    <x v="6"/>
    <x v="2"/>
    <x v="2"/>
    <x v="4"/>
    <n v="3"/>
    <n v="799"/>
    <x v="20"/>
    <x v="10"/>
    <x v="0"/>
  </r>
  <r>
    <s v="ORD1586"/>
    <x v="271"/>
    <x v="17"/>
    <x v="1"/>
    <x v="0"/>
    <x v="0"/>
    <n v="8"/>
    <n v="1799"/>
    <x v="143"/>
    <x v="10"/>
    <x v="0"/>
  </r>
  <r>
    <s v="ORD1587"/>
    <x v="272"/>
    <x v="8"/>
    <x v="4"/>
    <x v="1"/>
    <x v="2"/>
    <n v="5"/>
    <n v="2089.0500000000002"/>
    <x v="148"/>
    <x v="10"/>
    <x v="0"/>
  </r>
  <r>
    <s v="ORD1588"/>
    <x v="272"/>
    <x v="17"/>
    <x v="1"/>
    <x v="2"/>
    <x v="3"/>
    <n v="1"/>
    <n v="1619.1"/>
    <x v="197"/>
    <x v="10"/>
    <x v="0"/>
  </r>
  <r>
    <s v="ORD1589"/>
    <x v="273"/>
    <x v="17"/>
    <x v="1"/>
    <x v="2"/>
    <x v="4"/>
    <n v="4"/>
    <n v="1799"/>
    <x v="141"/>
    <x v="10"/>
    <x v="0"/>
  </r>
  <r>
    <s v="ORD1590"/>
    <x v="273"/>
    <x v="11"/>
    <x v="3"/>
    <x v="2"/>
    <x v="3"/>
    <n v="6"/>
    <n v="3999"/>
    <x v="180"/>
    <x v="10"/>
    <x v="0"/>
  </r>
  <r>
    <s v="ORD1591"/>
    <x v="274"/>
    <x v="15"/>
    <x v="0"/>
    <x v="1"/>
    <x v="3"/>
    <n v="1"/>
    <n v="331.55"/>
    <x v="235"/>
    <x v="10"/>
    <x v="0"/>
  </r>
  <r>
    <s v="ORD1592"/>
    <x v="275"/>
    <x v="8"/>
    <x v="4"/>
    <x v="2"/>
    <x v="3"/>
    <n v="5"/>
    <n v="1979.1"/>
    <x v="280"/>
    <x v="11"/>
    <x v="0"/>
  </r>
  <r>
    <s v="ORD1593"/>
    <x v="275"/>
    <x v="0"/>
    <x v="0"/>
    <x v="0"/>
    <x v="2"/>
    <n v="3"/>
    <n v="299"/>
    <x v="64"/>
    <x v="11"/>
    <x v="0"/>
  </r>
  <r>
    <s v="ORD1594"/>
    <x v="276"/>
    <x v="2"/>
    <x v="0"/>
    <x v="2"/>
    <x v="2"/>
    <n v="1"/>
    <n v="399"/>
    <x v="189"/>
    <x v="11"/>
    <x v="0"/>
  </r>
  <r>
    <s v="ORD1595"/>
    <x v="277"/>
    <x v="5"/>
    <x v="3"/>
    <x v="0"/>
    <x v="1"/>
    <n v="10"/>
    <n v="4049.1"/>
    <x v="260"/>
    <x v="11"/>
    <x v="0"/>
  </r>
  <r>
    <s v="ORD1596"/>
    <x v="277"/>
    <x v="8"/>
    <x v="4"/>
    <x v="1"/>
    <x v="2"/>
    <n v="3"/>
    <n v="2089.0500000000002"/>
    <x v="281"/>
    <x v="11"/>
    <x v="0"/>
  </r>
  <r>
    <s v="ORD1597"/>
    <x v="278"/>
    <x v="15"/>
    <x v="0"/>
    <x v="3"/>
    <x v="4"/>
    <n v="2"/>
    <n v="349"/>
    <x v="200"/>
    <x v="11"/>
    <x v="0"/>
  </r>
  <r>
    <s v="ORD1598"/>
    <x v="278"/>
    <x v="0"/>
    <x v="0"/>
    <x v="2"/>
    <x v="1"/>
    <n v="11"/>
    <n v="299"/>
    <x v="282"/>
    <x v="11"/>
    <x v="0"/>
  </r>
  <r>
    <s v="ORD1599"/>
    <x v="279"/>
    <x v="16"/>
    <x v="2"/>
    <x v="2"/>
    <x v="4"/>
    <n v="4"/>
    <n v="1199"/>
    <x v="77"/>
    <x v="11"/>
    <x v="0"/>
  </r>
  <r>
    <s v="ORD1600"/>
    <x v="279"/>
    <x v="3"/>
    <x v="1"/>
    <x v="3"/>
    <x v="4"/>
    <n v="10"/>
    <n v="2499"/>
    <x v="283"/>
    <x v="11"/>
    <x v="0"/>
  </r>
  <r>
    <s v="ORD1601"/>
    <x v="280"/>
    <x v="13"/>
    <x v="4"/>
    <x v="2"/>
    <x v="5"/>
    <n v="8"/>
    <n v="1349.1"/>
    <x v="284"/>
    <x v="11"/>
    <x v="0"/>
  </r>
  <r>
    <s v="ORD1602"/>
    <x v="280"/>
    <x v="5"/>
    <x v="3"/>
    <x v="0"/>
    <x v="1"/>
    <n v="6"/>
    <n v="4499"/>
    <x v="159"/>
    <x v="11"/>
    <x v="0"/>
  </r>
  <r>
    <s v="ORD1603"/>
    <x v="281"/>
    <x v="14"/>
    <x v="4"/>
    <x v="2"/>
    <x v="3"/>
    <n v="1"/>
    <n v="1799"/>
    <x v="27"/>
    <x v="11"/>
    <x v="0"/>
  </r>
  <r>
    <s v="ORD1604"/>
    <x v="281"/>
    <x v="6"/>
    <x v="2"/>
    <x v="0"/>
    <x v="5"/>
    <n v="1"/>
    <n v="799"/>
    <x v="74"/>
    <x v="11"/>
    <x v="0"/>
  </r>
  <r>
    <s v="ORD1605"/>
    <x v="281"/>
    <x v="19"/>
    <x v="3"/>
    <x v="3"/>
    <x v="3"/>
    <n v="4"/>
    <n v="3134.05"/>
    <x v="101"/>
    <x v="11"/>
    <x v="0"/>
  </r>
  <r>
    <s v="ORD1606"/>
    <x v="281"/>
    <x v="1"/>
    <x v="1"/>
    <x v="3"/>
    <x v="1"/>
    <n v="9"/>
    <n v="1999"/>
    <x v="264"/>
    <x v="11"/>
    <x v="0"/>
  </r>
  <r>
    <s v="ORD1607"/>
    <x v="282"/>
    <x v="4"/>
    <x v="2"/>
    <x v="1"/>
    <x v="2"/>
    <n v="1"/>
    <n v="3149.1"/>
    <x v="244"/>
    <x v="11"/>
    <x v="0"/>
  </r>
  <r>
    <s v="ORD1608"/>
    <x v="282"/>
    <x v="1"/>
    <x v="1"/>
    <x v="1"/>
    <x v="3"/>
    <n v="2"/>
    <n v="1999"/>
    <x v="178"/>
    <x v="11"/>
    <x v="0"/>
  </r>
  <r>
    <s v="ORD1609"/>
    <x v="283"/>
    <x v="4"/>
    <x v="2"/>
    <x v="2"/>
    <x v="1"/>
    <n v="1"/>
    <n v="3499"/>
    <x v="285"/>
    <x v="11"/>
    <x v="0"/>
  </r>
  <r>
    <s v="ORD1610"/>
    <x v="283"/>
    <x v="10"/>
    <x v="4"/>
    <x v="0"/>
    <x v="0"/>
    <n v="12"/>
    <n v="999"/>
    <x v="286"/>
    <x v="11"/>
    <x v="0"/>
  </r>
  <r>
    <s v="ORD1611"/>
    <x v="284"/>
    <x v="6"/>
    <x v="2"/>
    <x v="3"/>
    <x v="0"/>
    <n v="7"/>
    <n v="799"/>
    <x v="149"/>
    <x v="11"/>
    <x v="0"/>
  </r>
  <r>
    <s v="ORD1612"/>
    <x v="285"/>
    <x v="0"/>
    <x v="0"/>
    <x v="0"/>
    <x v="0"/>
    <n v="8"/>
    <n v="269.10000000000002"/>
    <x v="287"/>
    <x v="11"/>
    <x v="0"/>
  </r>
  <r>
    <s v="ORD1613"/>
    <x v="285"/>
    <x v="12"/>
    <x v="3"/>
    <x v="1"/>
    <x v="1"/>
    <n v="1"/>
    <n v="1299"/>
    <x v="40"/>
    <x v="11"/>
    <x v="0"/>
  </r>
  <r>
    <s v="ORD1614"/>
    <x v="285"/>
    <x v="15"/>
    <x v="0"/>
    <x v="2"/>
    <x v="4"/>
    <n v="7"/>
    <n v="349"/>
    <x v="225"/>
    <x v="11"/>
    <x v="0"/>
  </r>
  <r>
    <s v="ORD1615"/>
    <x v="285"/>
    <x v="9"/>
    <x v="1"/>
    <x v="0"/>
    <x v="4"/>
    <n v="4"/>
    <n v="4674.1499999999996"/>
    <x v="288"/>
    <x v="11"/>
    <x v="0"/>
  </r>
  <r>
    <s v="ORD1616"/>
    <x v="285"/>
    <x v="17"/>
    <x v="1"/>
    <x v="3"/>
    <x v="1"/>
    <n v="6"/>
    <n v="1799"/>
    <x v="91"/>
    <x v="11"/>
    <x v="0"/>
  </r>
  <r>
    <s v="ORD1617"/>
    <x v="286"/>
    <x v="7"/>
    <x v="1"/>
    <x v="0"/>
    <x v="4"/>
    <n v="3"/>
    <n v="899"/>
    <x v="84"/>
    <x v="11"/>
    <x v="0"/>
  </r>
  <r>
    <s v="ORD1618"/>
    <x v="286"/>
    <x v="14"/>
    <x v="4"/>
    <x v="3"/>
    <x v="4"/>
    <n v="3"/>
    <n v="1799"/>
    <x v="51"/>
    <x v="11"/>
    <x v="0"/>
  </r>
  <r>
    <s v="ORD1619"/>
    <x v="287"/>
    <x v="6"/>
    <x v="2"/>
    <x v="2"/>
    <x v="5"/>
    <n v="8"/>
    <n v="759.05"/>
    <x v="289"/>
    <x v="11"/>
    <x v="0"/>
  </r>
  <r>
    <s v="ORD1620"/>
    <x v="287"/>
    <x v="2"/>
    <x v="0"/>
    <x v="1"/>
    <x v="3"/>
    <n v="9"/>
    <n v="399"/>
    <x v="290"/>
    <x v="11"/>
    <x v="0"/>
  </r>
  <r>
    <s v="ORD1621"/>
    <x v="288"/>
    <x v="12"/>
    <x v="3"/>
    <x v="1"/>
    <x v="1"/>
    <n v="8"/>
    <n v="1299"/>
    <x v="273"/>
    <x v="11"/>
    <x v="0"/>
  </r>
  <r>
    <s v="ORD1622"/>
    <x v="289"/>
    <x v="14"/>
    <x v="4"/>
    <x v="2"/>
    <x v="4"/>
    <n v="8"/>
    <n v="1799"/>
    <x v="143"/>
    <x v="11"/>
    <x v="0"/>
  </r>
  <r>
    <s v="ORD1623"/>
    <x v="289"/>
    <x v="12"/>
    <x v="3"/>
    <x v="2"/>
    <x v="4"/>
    <n v="11"/>
    <n v="1299"/>
    <x v="291"/>
    <x v="11"/>
    <x v="0"/>
  </r>
  <r>
    <s v="ORD1624"/>
    <x v="290"/>
    <x v="18"/>
    <x v="2"/>
    <x v="3"/>
    <x v="5"/>
    <n v="4"/>
    <n v="899"/>
    <x v="7"/>
    <x v="11"/>
    <x v="0"/>
  </r>
  <r>
    <s v="ORD1625"/>
    <x v="290"/>
    <x v="0"/>
    <x v="0"/>
    <x v="0"/>
    <x v="1"/>
    <n v="9"/>
    <n v="299"/>
    <x v="292"/>
    <x v="11"/>
    <x v="0"/>
  </r>
  <r>
    <s v="ORD1626"/>
    <x v="290"/>
    <x v="17"/>
    <x v="1"/>
    <x v="0"/>
    <x v="0"/>
    <n v="3"/>
    <n v="1619.1"/>
    <x v="158"/>
    <x v="11"/>
    <x v="0"/>
  </r>
  <r>
    <s v="ORD1627"/>
    <x v="290"/>
    <x v="10"/>
    <x v="4"/>
    <x v="1"/>
    <x v="3"/>
    <n v="2"/>
    <n v="999"/>
    <x v="170"/>
    <x v="11"/>
    <x v="0"/>
  </r>
  <r>
    <s v="ORD1628"/>
    <x v="291"/>
    <x v="8"/>
    <x v="4"/>
    <x v="0"/>
    <x v="0"/>
    <n v="10"/>
    <n v="1979.1"/>
    <x v="174"/>
    <x v="11"/>
    <x v="0"/>
  </r>
  <r>
    <s v="ORD1629"/>
    <x v="291"/>
    <x v="13"/>
    <x v="4"/>
    <x v="2"/>
    <x v="4"/>
    <n v="2"/>
    <n v="1499"/>
    <x v="35"/>
    <x v="11"/>
    <x v="0"/>
  </r>
  <r>
    <s v="ORD1630"/>
    <x v="292"/>
    <x v="11"/>
    <x v="3"/>
    <x v="0"/>
    <x v="5"/>
    <n v="9"/>
    <n v="3999"/>
    <x v="293"/>
    <x v="11"/>
    <x v="0"/>
  </r>
  <r>
    <s v="ORD1631"/>
    <x v="292"/>
    <x v="0"/>
    <x v="0"/>
    <x v="3"/>
    <x v="2"/>
    <n v="1"/>
    <n v="299"/>
    <x v="108"/>
    <x v="11"/>
    <x v="0"/>
  </r>
  <r>
    <s v="ORD1632"/>
    <x v="293"/>
    <x v="10"/>
    <x v="4"/>
    <x v="2"/>
    <x v="4"/>
    <n v="4"/>
    <n v="999"/>
    <x v="38"/>
    <x v="11"/>
    <x v="0"/>
  </r>
  <r>
    <s v="ORD1633"/>
    <x v="293"/>
    <x v="4"/>
    <x v="2"/>
    <x v="2"/>
    <x v="2"/>
    <n v="8"/>
    <n v="3499"/>
    <x v="196"/>
    <x v="11"/>
    <x v="0"/>
  </r>
  <r>
    <s v="ORD1634"/>
    <x v="293"/>
    <x v="17"/>
    <x v="1"/>
    <x v="3"/>
    <x v="4"/>
    <n v="3"/>
    <n v="1799"/>
    <x v="51"/>
    <x v="11"/>
    <x v="0"/>
  </r>
  <r>
    <s v="ORD1635"/>
    <x v="294"/>
    <x v="12"/>
    <x v="3"/>
    <x v="3"/>
    <x v="4"/>
    <n v="7"/>
    <n v="1299"/>
    <x v="294"/>
    <x v="11"/>
    <x v="0"/>
  </r>
  <r>
    <s v="ORD1636"/>
    <x v="294"/>
    <x v="7"/>
    <x v="1"/>
    <x v="2"/>
    <x v="2"/>
    <n v="3"/>
    <n v="854.05"/>
    <x v="65"/>
    <x v="11"/>
    <x v="0"/>
  </r>
  <r>
    <s v="ORD1637"/>
    <x v="295"/>
    <x v="0"/>
    <x v="0"/>
    <x v="0"/>
    <x v="3"/>
    <n v="7"/>
    <n v="299"/>
    <x v="213"/>
    <x v="11"/>
    <x v="0"/>
  </r>
  <r>
    <s v="ORD1638"/>
    <x v="296"/>
    <x v="15"/>
    <x v="0"/>
    <x v="2"/>
    <x v="2"/>
    <n v="6"/>
    <n v="314.10000000000002"/>
    <x v="295"/>
    <x v="11"/>
    <x v="0"/>
  </r>
  <r>
    <s v="ORD1639"/>
    <x v="297"/>
    <x v="15"/>
    <x v="0"/>
    <x v="0"/>
    <x v="5"/>
    <n v="6"/>
    <n v="349"/>
    <x v="168"/>
    <x v="11"/>
    <x v="0"/>
  </r>
  <r>
    <s v="ORD1640"/>
    <x v="297"/>
    <x v="6"/>
    <x v="2"/>
    <x v="1"/>
    <x v="2"/>
    <n v="4"/>
    <n v="799"/>
    <x v="166"/>
    <x v="11"/>
    <x v="0"/>
  </r>
  <r>
    <s v="ORD1641"/>
    <x v="297"/>
    <x v="8"/>
    <x v="4"/>
    <x v="0"/>
    <x v="5"/>
    <n v="2"/>
    <n v="2199"/>
    <x v="136"/>
    <x v="11"/>
    <x v="0"/>
  </r>
  <r>
    <s v="ORD1642"/>
    <x v="297"/>
    <x v="1"/>
    <x v="1"/>
    <x v="1"/>
    <x v="0"/>
    <n v="7"/>
    <n v="1999"/>
    <x v="146"/>
    <x v="11"/>
    <x v="0"/>
  </r>
  <r>
    <s v="ORD1643"/>
    <x v="297"/>
    <x v="1"/>
    <x v="1"/>
    <x v="2"/>
    <x v="1"/>
    <n v="4"/>
    <n v="1999"/>
    <x v="155"/>
    <x v="11"/>
    <x v="0"/>
  </r>
  <r>
    <s v="ORD1644"/>
    <x v="297"/>
    <x v="15"/>
    <x v="0"/>
    <x v="1"/>
    <x v="5"/>
    <n v="4"/>
    <n v="314.10000000000002"/>
    <x v="296"/>
    <x v="11"/>
    <x v="0"/>
  </r>
  <r>
    <s v="ORD1645"/>
    <x v="297"/>
    <x v="16"/>
    <x v="2"/>
    <x v="2"/>
    <x v="1"/>
    <n v="10"/>
    <n v="1199"/>
    <x v="297"/>
    <x v="11"/>
    <x v="0"/>
  </r>
  <r>
    <s v="ORD1646"/>
    <x v="298"/>
    <x v="10"/>
    <x v="4"/>
    <x v="2"/>
    <x v="1"/>
    <n v="2"/>
    <n v="849.15"/>
    <x v="21"/>
    <x v="11"/>
    <x v="0"/>
  </r>
  <r>
    <s v="ORD1647"/>
    <x v="298"/>
    <x v="7"/>
    <x v="1"/>
    <x v="2"/>
    <x v="5"/>
    <n v="4"/>
    <n v="899"/>
    <x v="7"/>
    <x v="11"/>
    <x v="0"/>
  </r>
  <r>
    <s v="ORD1648"/>
    <x v="298"/>
    <x v="17"/>
    <x v="1"/>
    <x v="0"/>
    <x v="3"/>
    <n v="3"/>
    <n v="1799"/>
    <x v="51"/>
    <x v="11"/>
    <x v="0"/>
  </r>
  <r>
    <s v="ORD1649"/>
    <x v="298"/>
    <x v="3"/>
    <x v="1"/>
    <x v="1"/>
    <x v="4"/>
    <n v="5"/>
    <n v="2499"/>
    <x v="151"/>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BFF6D-FB62-446C-A7D8-CC3CE34A76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1">
    <pivotField showAll="0"/>
    <pivotField numFmtId="164" showAll="0"/>
    <pivotField showAll="0"/>
    <pivotField showAll="0">
      <items count="6">
        <item x="0"/>
        <item x="4"/>
        <item x="1"/>
        <item x="2"/>
        <item x="3"/>
        <item t="default"/>
      </items>
    </pivotField>
    <pivotField showAll="0">
      <items count="5">
        <item x="3"/>
        <item x="2"/>
        <item x="0"/>
        <item x="1"/>
        <item t="default"/>
      </items>
    </pivotField>
    <pivotField showAll="0">
      <items count="7">
        <item x="1"/>
        <item x="2"/>
        <item x="4"/>
        <item x="5"/>
        <item x="0"/>
        <item x="3"/>
        <item t="default"/>
      </items>
    </pivotField>
    <pivotField showAll="0"/>
    <pivotField numFmtId="165" showAll="0"/>
    <pivotField dataField="1" numFmtId="165" showAll="0"/>
    <pivotField axis="axisRow" showAll="0">
      <items count="13">
        <item x="0"/>
        <item x="1"/>
        <item x="2"/>
        <item x="3"/>
        <item x="4"/>
        <item x="5"/>
        <item x="6"/>
        <item x="7"/>
        <item x="8"/>
        <item x="9"/>
        <item x="10"/>
        <item x="11"/>
        <item t="default"/>
      </items>
    </pivotField>
    <pivotField showAll="0">
      <items count="2">
        <item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Revenue" fld="8" baseField="0" baseItem="0" numFmtId="165"/>
  </dataFields>
  <formats count="6">
    <format dxfId="136">
      <pivotArea type="all" dataOnly="0" outline="0" fieldPosition="0"/>
    </format>
    <format dxfId="135">
      <pivotArea outline="0" collapsedLevelsAreSubtotals="1" fieldPosition="0"/>
    </format>
    <format dxfId="134">
      <pivotArea field="9" type="button" dataOnly="0" labelOnly="1" outline="0" axis="axisRow" fieldPosition="0"/>
    </format>
    <format dxfId="133">
      <pivotArea dataOnly="0" labelOnly="1" fieldPosition="0">
        <references count="1">
          <reference field="9" count="0"/>
        </references>
      </pivotArea>
    </format>
    <format dxfId="132">
      <pivotArea dataOnly="0" labelOnly="1" grandRow="1" outline="0" fieldPosition="0"/>
    </format>
    <format dxfId="1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9B8BD2-52EF-4C0F-8956-50ABA8506C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9" firstHeaderRow="1" firstDataRow="1" firstDataCol="1"/>
  <pivotFields count="11">
    <pivotField showAll="0"/>
    <pivotField numFmtId="164"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axis="axisRow" showAll="0">
      <items count="6">
        <item x="0"/>
        <item x="4"/>
        <item x="1"/>
        <item x="2"/>
        <item x="3"/>
        <item t="default"/>
      </items>
    </pivotField>
    <pivotField showAll="0">
      <items count="5">
        <item x="3"/>
        <item x="2"/>
        <item x="0"/>
        <item x="1"/>
        <item t="default"/>
      </items>
    </pivotField>
    <pivotField showAll="0"/>
    <pivotField showAll="0"/>
    <pivotField numFmtId="165" showAll="0"/>
    <pivotField dataField="1" numFmtId="165" showAll="0"/>
    <pivotField showAll="0">
      <items count="13">
        <item x="0"/>
        <item x="1"/>
        <item x="2"/>
        <item x="3"/>
        <item x="4"/>
        <item x="5"/>
        <item x="6"/>
        <item x="7"/>
        <item x="8"/>
        <item x="9"/>
        <item x="10"/>
        <item x="11"/>
        <item t="default"/>
      </items>
    </pivotField>
    <pivotField showAll="0">
      <items count="2">
        <item x="0"/>
        <item t="default"/>
      </items>
    </pivotField>
  </pivotFields>
  <rowFields count="1">
    <field x="3"/>
  </rowFields>
  <rowItems count="6">
    <i>
      <x/>
    </i>
    <i>
      <x v="1"/>
    </i>
    <i>
      <x v="2"/>
    </i>
    <i>
      <x v="3"/>
    </i>
    <i>
      <x v="4"/>
    </i>
    <i t="grand">
      <x/>
    </i>
  </rowItems>
  <colItems count="1">
    <i/>
  </colItems>
  <dataFields count="1">
    <dataField name="Sum of Revenue" fld="8" baseField="0" baseItem="0" numFmtId="165"/>
  </dataFields>
  <formats count="6">
    <format dxfId="130">
      <pivotArea type="all" dataOnly="0" outline="0" fieldPosition="0"/>
    </format>
    <format dxfId="129">
      <pivotArea outline="0" collapsedLevelsAreSubtotals="1" fieldPosition="0"/>
    </format>
    <format dxfId="128">
      <pivotArea field="3" type="button" dataOnly="0" labelOnly="1" outline="0" axis="axisRow" fieldPosition="0"/>
    </format>
    <format dxfId="127">
      <pivotArea dataOnly="0" labelOnly="1" fieldPosition="0">
        <references count="1">
          <reference field="3" count="0"/>
        </references>
      </pivotArea>
    </format>
    <format dxfId="126">
      <pivotArea dataOnly="0" labelOnly="1" grandRow="1" outline="0" fieldPosition="0"/>
    </format>
    <format dxfId="12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C020D-DEC7-496F-9769-E8FB946AA9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B9" firstHeaderRow="1" firstDataRow="1" firstDataCol="1"/>
  <pivotFields count="11">
    <pivotField showAll="0"/>
    <pivotField numFmtId="164" showAll="0"/>
    <pivotField showAll="0"/>
    <pivotField showAll="0">
      <items count="6">
        <item x="0"/>
        <item x="4"/>
        <item x="1"/>
        <item x="2"/>
        <item x="3"/>
        <item t="default"/>
      </items>
    </pivotField>
    <pivotField axis="axisRow" showAll="0">
      <items count="5">
        <item x="3"/>
        <item x="2"/>
        <item x="0"/>
        <item x="1"/>
        <item t="default"/>
      </items>
    </pivotField>
    <pivotField showAll="0"/>
    <pivotField showAll="0"/>
    <pivotField numFmtId="165" showAll="0"/>
    <pivotField dataField="1" numFmtId="165" showAll="0">
      <items count="299">
        <item x="108"/>
        <item x="33"/>
        <item x="235"/>
        <item x="205"/>
        <item x="194"/>
        <item x="189"/>
        <item x="152"/>
        <item x="200"/>
        <item x="250"/>
        <item x="164"/>
        <item x="240"/>
        <item x="120"/>
        <item x="74"/>
        <item x="150"/>
        <item x="142"/>
        <item x="233"/>
        <item x="64"/>
        <item x="28"/>
        <item x="68"/>
        <item x="124"/>
        <item x="106"/>
        <item x="163"/>
        <item x="24"/>
        <item x="133"/>
        <item x="104"/>
        <item x="0"/>
        <item x="111"/>
        <item x="58"/>
        <item x="296"/>
        <item x="40"/>
        <item x="110"/>
        <item x="276"/>
        <item x="130"/>
        <item x="204"/>
        <item x="214"/>
        <item x="169"/>
        <item x="31"/>
        <item x="197"/>
        <item x="50"/>
        <item x="21"/>
        <item x="195"/>
        <item x="211"/>
        <item x="23"/>
        <item x="63"/>
        <item x="207"/>
        <item x="37"/>
        <item x="27"/>
        <item x="231"/>
        <item x="295"/>
        <item x="239"/>
        <item x="109"/>
        <item x="170"/>
        <item x="131"/>
        <item x="85"/>
        <item x="213"/>
        <item x="168"/>
        <item x="287"/>
        <item x="128"/>
        <item x="145"/>
        <item x="245"/>
        <item x="160"/>
        <item x="221"/>
        <item x="201"/>
        <item x="69"/>
        <item x="20"/>
        <item x="76"/>
        <item x="225"/>
        <item x="93"/>
        <item x="19"/>
        <item x="65"/>
        <item x="87"/>
        <item x="16"/>
        <item x="292"/>
        <item x="84"/>
        <item x="6"/>
        <item x="66"/>
        <item x="217"/>
        <item x="238"/>
        <item x="248"/>
        <item x="203"/>
        <item x="41"/>
        <item x="35"/>
        <item x="22"/>
        <item x="246"/>
        <item x="229"/>
        <item x="253"/>
        <item x="244"/>
        <item x="2"/>
        <item x="166"/>
        <item x="126"/>
        <item x="94"/>
        <item x="282"/>
        <item x="119"/>
        <item x="1"/>
        <item x="118"/>
        <item x="243"/>
        <item x="259"/>
        <item x="285"/>
        <item x="290"/>
        <item x="7"/>
        <item x="55"/>
        <item x="100"/>
        <item x="43"/>
        <item x="161"/>
        <item x="208"/>
        <item x="147"/>
        <item x="10"/>
        <item x="122"/>
        <item x="123"/>
        <item x="32"/>
        <item x="38"/>
        <item x="178"/>
        <item x="92"/>
        <item x="251"/>
        <item x="175"/>
        <item x="271"/>
        <item x="184"/>
        <item x="136"/>
        <item x="206"/>
        <item x="11"/>
        <item x="96"/>
        <item x="212"/>
        <item x="173"/>
        <item x="113"/>
        <item x="218"/>
        <item x="17"/>
        <item x="77"/>
        <item x="135"/>
        <item x="158"/>
        <item x="237"/>
        <item x="90"/>
        <item x="30"/>
        <item x="186"/>
        <item x="219"/>
        <item x="80"/>
        <item x="224"/>
        <item x="62"/>
        <item x="51"/>
        <item x="70"/>
        <item x="149"/>
        <item x="255"/>
        <item x="99"/>
        <item x="14"/>
        <item x="71"/>
        <item x="98"/>
        <item x="79"/>
        <item x="289"/>
        <item x="156"/>
        <item x="176"/>
        <item x="281"/>
        <item x="105"/>
        <item x="88"/>
        <item x="138"/>
        <item x="49"/>
        <item x="18"/>
        <item x="9"/>
        <item x="114"/>
        <item x="232"/>
        <item x="107"/>
        <item x="112"/>
        <item x="268"/>
        <item x="117"/>
        <item x="234"/>
        <item x="141"/>
        <item x="48"/>
        <item x="241"/>
        <item x="56"/>
        <item x="134"/>
        <item x="95"/>
        <item x="223"/>
        <item x="236"/>
        <item x="25"/>
        <item x="277"/>
        <item x="26"/>
        <item x="83"/>
        <item x="155"/>
        <item x="127"/>
        <item x="265"/>
        <item x="177"/>
        <item x="67"/>
        <item x="153"/>
        <item x="191"/>
        <item x="216"/>
        <item x="279"/>
        <item x="188"/>
        <item x="199"/>
        <item x="75"/>
        <item x="165"/>
        <item x="294"/>
        <item x="258"/>
        <item x="228"/>
        <item x="222"/>
        <item x="187"/>
        <item x="115"/>
        <item x="267"/>
        <item x="198"/>
        <item x="78"/>
        <item x="280"/>
        <item x="54"/>
        <item x="121"/>
        <item x="227"/>
        <item x="181"/>
        <item x="60"/>
        <item x="44"/>
        <item x="273"/>
        <item x="148"/>
        <item x="144"/>
        <item x="82"/>
        <item x="263"/>
        <item x="284"/>
        <item x="91"/>
        <item x="59"/>
        <item x="157"/>
        <item x="242"/>
        <item x="185"/>
        <item x="102"/>
        <item x="57"/>
        <item x="286"/>
        <item x="297"/>
        <item x="39"/>
        <item x="81"/>
        <item x="209"/>
        <item x="151"/>
        <item x="101"/>
        <item x="52"/>
        <item x="137"/>
        <item x="162"/>
        <item x="266"/>
        <item x="45"/>
        <item x="61"/>
        <item x="215"/>
        <item x="46"/>
        <item x="146"/>
        <item x="47"/>
        <item x="291"/>
        <item x="143"/>
        <item x="53"/>
        <item x="190"/>
        <item x="226"/>
        <item x="3"/>
        <item x="247"/>
        <item x="15"/>
        <item x="5"/>
        <item x="36"/>
        <item x="103"/>
        <item x="278"/>
        <item x="73"/>
        <item x="220"/>
        <item x="86"/>
        <item x="12"/>
        <item x="139"/>
        <item x="13"/>
        <item x="264"/>
        <item x="288"/>
        <item x="192"/>
        <item x="174"/>
        <item x="89"/>
        <item x="202"/>
        <item x="97"/>
        <item x="172"/>
        <item x="4"/>
        <item x="252"/>
        <item x="193"/>
        <item x="129"/>
        <item x="256"/>
        <item x="230"/>
        <item x="42"/>
        <item x="272"/>
        <item x="180"/>
        <item x="154"/>
        <item x="8"/>
        <item x="283"/>
        <item x="183"/>
        <item x="182"/>
        <item x="257"/>
        <item x="159"/>
        <item x="34"/>
        <item x="196"/>
        <item x="140"/>
        <item x="274"/>
        <item x="132"/>
        <item x="270"/>
        <item x="254"/>
        <item x="29"/>
        <item x="179"/>
        <item x="171"/>
        <item x="269"/>
        <item x="167"/>
        <item x="293"/>
        <item x="210"/>
        <item x="72"/>
        <item x="261"/>
        <item x="249"/>
        <item x="260"/>
        <item x="116"/>
        <item x="125"/>
        <item x="262"/>
        <item x="275"/>
        <item t="default"/>
      </items>
    </pivotField>
    <pivotField showAll="0">
      <items count="13">
        <item x="0"/>
        <item x="1"/>
        <item x="2"/>
        <item x="3"/>
        <item x="4"/>
        <item x="5"/>
        <item x="6"/>
        <item x="7"/>
        <item x="8"/>
        <item x="9"/>
        <item x="10"/>
        <item x="11"/>
        <item t="default"/>
      </items>
    </pivotField>
    <pivotField showAll="0">
      <items count="2">
        <item x="0"/>
        <item t="default"/>
      </items>
    </pivotField>
  </pivotFields>
  <rowFields count="1">
    <field x="4"/>
  </rowFields>
  <rowItems count="5">
    <i>
      <x/>
    </i>
    <i>
      <x v="1"/>
    </i>
    <i>
      <x v="2"/>
    </i>
    <i>
      <x v="3"/>
    </i>
    <i t="grand">
      <x/>
    </i>
  </rowItems>
  <colItems count="1">
    <i/>
  </colItems>
  <dataFields count="1">
    <dataField name="Sum of Revenue" fld="8" baseField="0" baseItem="0" numFmtId="165"/>
  </dataFields>
  <formats count="6">
    <format dxfId="124">
      <pivotArea type="all" dataOnly="0" outline="0" fieldPosition="0"/>
    </format>
    <format dxfId="123">
      <pivotArea outline="0" collapsedLevelsAreSubtotals="1" fieldPosition="0"/>
    </format>
    <format dxfId="122">
      <pivotArea field="4" type="button" dataOnly="0" labelOnly="1" outline="0" axis="axisRow" fieldPosition="0"/>
    </format>
    <format dxfId="121">
      <pivotArea dataOnly="0" labelOnly="1" fieldPosition="0">
        <references count="1">
          <reference field="4" count="0"/>
        </references>
      </pivotArea>
    </format>
    <format dxfId="120">
      <pivotArea dataOnly="0" labelOnly="1" grandRow="1" outline="0" fieldPosition="0"/>
    </format>
    <format dxfId="11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4" count="1" selected="0">
            <x v="0"/>
          </reference>
        </references>
      </pivotArea>
    </chartFormat>
    <chartFormat chart="27" format="18">
      <pivotArea type="data" outline="0" fieldPosition="0">
        <references count="2">
          <reference field="4294967294" count="1" selected="0">
            <x v="0"/>
          </reference>
          <reference field="4" count="1" selected="0">
            <x v="1"/>
          </reference>
        </references>
      </pivotArea>
    </chartFormat>
    <chartFormat chart="27" format="19">
      <pivotArea type="data" outline="0" fieldPosition="0">
        <references count="2">
          <reference field="4294967294" count="1" selected="0">
            <x v="0"/>
          </reference>
          <reference field="4" count="1" selected="0">
            <x v="2"/>
          </reference>
        </references>
      </pivotArea>
    </chartFormat>
    <chartFormat chart="27" format="2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BBC5F-F297-4844-AB57-E38B048B4F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1" firstHeaderRow="1" firstDataRow="1" firstDataCol="1" rowPageCount="2" colPageCount="1"/>
  <pivotFields count="11">
    <pivotField showAll="0"/>
    <pivotField numFmtId="164" showAll="0"/>
    <pivotField showAll="0"/>
    <pivotField showAll="0">
      <items count="6">
        <item x="0"/>
        <item x="4"/>
        <item x="1"/>
        <item x="2"/>
        <item x="3"/>
        <item t="default"/>
      </items>
    </pivotField>
    <pivotField showAll="0">
      <items count="5">
        <item x="3"/>
        <item x="2"/>
        <item x="0"/>
        <item x="1"/>
        <item t="default"/>
      </items>
    </pivotField>
    <pivotField axis="axisRow" showAll="0">
      <items count="7">
        <item x="1"/>
        <item x="2"/>
        <item x="4"/>
        <item x="5"/>
        <item x="0"/>
        <item x="3"/>
        <item t="default"/>
      </items>
    </pivotField>
    <pivotField showAll="0"/>
    <pivotField numFmtId="165" showAll="0"/>
    <pivotField dataField="1" numFmtId="165" showAll="0"/>
    <pivotField axis="axisPage" showAll="0">
      <items count="13">
        <item x="0"/>
        <item x="1"/>
        <item x="2"/>
        <item x="3"/>
        <item x="4"/>
        <item x="5"/>
        <item x="6"/>
        <item x="7"/>
        <item x="8"/>
        <item x="9"/>
        <item x="10"/>
        <item x="11"/>
        <item t="default"/>
      </items>
    </pivotField>
    <pivotField axis="axisPage" showAll="0">
      <items count="2">
        <item x="0"/>
        <item t="default"/>
      </items>
    </pivotField>
  </pivotFields>
  <rowFields count="1">
    <field x="5"/>
  </rowFields>
  <rowItems count="7">
    <i>
      <x/>
    </i>
    <i>
      <x v="1"/>
    </i>
    <i>
      <x v="2"/>
    </i>
    <i>
      <x v="3"/>
    </i>
    <i>
      <x v="4"/>
    </i>
    <i>
      <x v="5"/>
    </i>
    <i t="grand">
      <x/>
    </i>
  </rowItems>
  <colItems count="1">
    <i/>
  </colItems>
  <pageFields count="2">
    <pageField fld="10" hier="-1"/>
    <pageField fld="9" hier="-1"/>
  </pageFields>
  <dataFields count="1">
    <dataField name="Sum of Revenue" fld="8" baseField="0" baseItem="0" numFmtId="165"/>
  </dataFields>
  <formats count="6">
    <format dxfId="118">
      <pivotArea type="all" dataOnly="0" outline="0" fieldPosition="0"/>
    </format>
    <format dxfId="117">
      <pivotArea outline="0" collapsedLevelsAreSubtotals="1"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9191F6-7083-43CA-BF08-81F5C770E4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numFmtId="164" showAll="0"/>
    <pivotField showAll="0"/>
    <pivotField showAll="0">
      <items count="6">
        <item x="0"/>
        <item x="4"/>
        <item x="1"/>
        <item x="2"/>
        <item x="3"/>
        <item t="default"/>
      </items>
    </pivotField>
    <pivotField showAll="0">
      <items count="5">
        <item x="3"/>
        <item x="2"/>
        <item x="0"/>
        <item x="1"/>
        <item t="default"/>
      </items>
    </pivotField>
    <pivotField showAll="0"/>
    <pivotField showAll="0"/>
    <pivotField numFmtId="165" showAll="0"/>
    <pivotField numFmtId="165" showAll="0"/>
    <pivotField showAll="0">
      <items count="13">
        <item x="0"/>
        <item x="1"/>
        <item x="2"/>
        <item x="3"/>
        <item x="4"/>
        <item x="5"/>
        <item x="6"/>
        <item x="7"/>
        <item x="8"/>
        <item x="9"/>
        <item x="10"/>
        <item x="11"/>
        <item t="default"/>
      </items>
    </pivotField>
    <pivotField showAll="0">
      <items count="2">
        <item x="0"/>
        <item t="default"/>
      </items>
    </pivotField>
  </pivotFields>
  <rowItems count="1">
    <i/>
  </rowItems>
  <colItems count="1">
    <i/>
  </colItems>
  <dataFields count="1">
    <dataField name="Count of Order ID" fld="0" subtotal="count" baseField="0" baseItem="0"/>
  </dataFields>
  <formats count="3">
    <format dxfId="112">
      <pivotArea type="all" dataOnly="0" outline="0" fieldPosition="0"/>
    </format>
    <format dxfId="111">
      <pivotArea outline="0" collapsedLevelsAreSubtotals="1" fieldPosition="0"/>
    </format>
    <format dxfId="1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6D1F86-05A9-40D2-BC71-D8BE1D93C5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numFmtId="164" showAll="0"/>
    <pivotField showAll="0"/>
    <pivotField showAll="0">
      <items count="6">
        <item x="0"/>
        <item x="4"/>
        <item x="1"/>
        <item x="2"/>
        <item x="3"/>
        <item t="default"/>
      </items>
    </pivotField>
    <pivotField showAll="0">
      <items count="5">
        <item x="3"/>
        <item x="2"/>
        <item x="0"/>
        <item x="1"/>
        <item t="default"/>
      </items>
    </pivotField>
    <pivotField showAll="0"/>
    <pivotField dataField="1" showAll="0"/>
    <pivotField numFmtId="165" showAll="0"/>
    <pivotField numFmtId="165" showAll="0"/>
    <pivotField showAll="0">
      <items count="13">
        <item x="0"/>
        <item x="1"/>
        <item x="2"/>
        <item x="3"/>
        <item x="4"/>
        <item x="5"/>
        <item x="6"/>
        <item x="7"/>
        <item x="8"/>
        <item x="9"/>
        <item x="10"/>
        <item x="11"/>
        <item t="default"/>
      </items>
    </pivotField>
    <pivotField showAll="0">
      <items count="2">
        <item x="0"/>
        <item t="default"/>
      </items>
    </pivotField>
  </pivotFields>
  <rowItems count="1">
    <i/>
  </rowItems>
  <colItems count="1">
    <i/>
  </colItems>
  <dataFields count="1">
    <dataField name="Sum of Units Sold" fld="6" baseField="0" baseItem="0"/>
  </dataFields>
  <formats count="3">
    <format dxfId="109">
      <pivotArea type="all" dataOnly="0" outline="0" fieldPosition="0"/>
    </format>
    <format dxfId="108">
      <pivotArea outline="0" collapsedLevelsAreSubtotals="1" fieldPosition="0"/>
    </format>
    <format dxfId="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68867E-8772-4F2F-B984-B71C4A987D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showAll="0"/>
    <pivotField numFmtId="164" showAll="0"/>
    <pivotField axis="axisRow" showAll="0" measureFilter="1" sortType="descending">
      <items count="21">
        <item x="9"/>
        <item x="11"/>
        <item x="2"/>
        <item x="1"/>
        <item x="10"/>
        <item x="5"/>
        <item x="16"/>
        <item x="14"/>
        <item x="0"/>
        <item x="13"/>
        <item x="7"/>
        <item x="6"/>
        <item x="18"/>
        <item x="19"/>
        <item x="4"/>
        <item x="15"/>
        <item x="17"/>
        <item x="3"/>
        <item x="8"/>
        <item x="12"/>
        <item t="default"/>
      </items>
      <autoSortScope>
        <pivotArea dataOnly="0" outline="0" fieldPosition="0">
          <references count="1">
            <reference field="4294967294" count="1" selected="0">
              <x v="0"/>
            </reference>
          </references>
        </pivotArea>
      </autoSortScope>
    </pivotField>
    <pivotField showAll="0">
      <items count="6">
        <item x="0"/>
        <item x="4"/>
        <item x="1"/>
        <item x="2"/>
        <item x="3"/>
        <item t="default"/>
      </items>
    </pivotField>
    <pivotField showAll="0">
      <items count="5">
        <item x="3"/>
        <item x="2"/>
        <item x="0"/>
        <item x="1"/>
        <item t="default"/>
      </items>
    </pivotField>
    <pivotField showAll="0"/>
    <pivotField showAll="0"/>
    <pivotField numFmtId="165" showAll="0"/>
    <pivotField dataField="1" numFmtId="165" showAll="0"/>
    <pivotField showAll="0">
      <items count="13">
        <item x="0"/>
        <item x="1"/>
        <item x="2"/>
        <item x="3"/>
        <item x="4"/>
        <item x="5"/>
        <item x="6"/>
        <item x="7"/>
        <item x="8"/>
        <item x="9"/>
        <item x="10"/>
        <item x="11"/>
        <item t="default"/>
      </items>
    </pivotField>
    <pivotField showAll="0">
      <items count="2">
        <item x="0"/>
        <item t="default"/>
      </items>
    </pivotField>
  </pivotFields>
  <rowFields count="1">
    <field x="2"/>
  </rowFields>
  <rowItems count="6">
    <i>
      <x/>
    </i>
    <i>
      <x v="5"/>
    </i>
    <i>
      <x v="14"/>
    </i>
    <i>
      <x v="1"/>
    </i>
    <i>
      <x v="13"/>
    </i>
    <i t="grand">
      <x/>
    </i>
  </rowItems>
  <colItems count="1">
    <i/>
  </colItems>
  <dataFields count="1">
    <dataField name="Sum of Revenue" fld="8" baseField="0" baseItem="0" numFmtId="165"/>
  </dataFields>
  <formats count="6">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5">
            <x v="0"/>
            <x v="1"/>
            <x v="5"/>
            <x v="13"/>
            <x v="14"/>
          </reference>
        </references>
      </pivotArea>
    </format>
    <format dxfId="102">
      <pivotArea dataOnly="0" labelOnly="1" grandRow="1" outline="0" fieldPosition="0"/>
    </format>
    <format dxfId="10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83D884-710D-4ACC-BB63-90F6242A529F}" sourceName="Category">
  <pivotTables>
    <pivotTable tabId="2" name="PivotTable1"/>
    <pivotTable tabId="9" name="PivotTable2"/>
    <pivotTable tabId="10" name="PivotTable3"/>
    <pivotTable tabId="4" name="PivotTable2"/>
    <pivotTable tabId="5" name="PivotTable3"/>
    <pivotTable tabId="6" name="PivotTable4"/>
    <pivotTable tabId="12" name="PivotTable1"/>
  </pivotTables>
  <data>
    <tabular pivotCacheId="1023365445">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6B6E2-53E1-49BA-AC40-FBB8319AA791}" sourceName="Region">
  <pivotTables>
    <pivotTable tabId="2" name="PivotTable1"/>
    <pivotTable tabId="9" name="PivotTable2"/>
    <pivotTable tabId="10" name="PivotTable3"/>
    <pivotTable tabId="4" name="PivotTable2"/>
    <pivotTable tabId="5" name="PivotTable3"/>
    <pivotTable tabId="6" name="PivotTable4"/>
  </pivotTables>
  <data>
    <tabular pivotCacheId="1023365445">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A25F22-8074-4CF5-9D72-045A311FB1A9}" sourceName="Year">
  <pivotTables>
    <pivotTable tabId="2" name="PivotTable1"/>
    <pivotTable tabId="9" name="PivotTable2"/>
    <pivotTable tabId="10" name="PivotTable3"/>
    <pivotTable tabId="4" name="PivotTable2"/>
    <pivotTable tabId="5" name="PivotTable3"/>
    <pivotTable tabId="6" name="PivotTable4"/>
    <pivotTable tabId="12" name="PivotTable1"/>
  </pivotTables>
  <data>
    <tabular pivotCacheId="1023365445">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A1661459-0C22-46BA-A0F3-BD1337620832}" sourceName="Revenue">
  <pivotTables>
    <pivotTable tabId="5" name="PivotTable3"/>
  </pivotTables>
  <data>
    <tabular pivotCacheId="1023365445">
      <items count="298">
        <i x="108" s="1"/>
        <i x="33" s="1"/>
        <i x="235" s="1"/>
        <i x="205" s="1"/>
        <i x="194" s="1"/>
        <i x="189" s="1"/>
        <i x="152" s="1"/>
        <i x="200" s="1"/>
        <i x="250" s="1"/>
        <i x="164" s="1"/>
        <i x="240" s="1"/>
        <i x="120" s="1"/>
        <i x="74" s="1"/>
        <i x="150" s="1"/>
        <i x="142" s="1"/>
        <i x="233" s="1"/>
        <i x="64" s="1"/>
        <i x="28" s="1"/>
        <i x="68" s="1"/>
        <i x="124" s="1"/>
        <i x="106" s="1"/>
        <i x="163" s="1"/>
        <i x="24" s="1"/>
        <i x="133" s="1"/>
        <i x="104" s="1"/>
        <i x="0" s="1"/>
        <i x="111" s="1"/>
        <i x="58" s="1"/>
        <i x="296" s="1"/>
        <i x="40" s="1"/>
        <i x="110" s="1"/>
        <i x="276" s="1"/>
        <i x="130" s="1"/>
        <i x="204" s="1"/>
        <i x="214" s="1"/>
        <i x="169" s="1"/>
        <i x="31" s="1"/>
        <i x="197" s="1"/>
        <i x="50" s="1"/>
        <i x="21" s="1"/>
        <i x="195" s="1"/>
        <i x="211" s="1"/>
        <i x="23" s="1"/>
        <i x="63" s="1"/>
        <i x="207" s="1"/>
        <i x="37" s="1"/>
        <i x="27" s="1"/>
        <i x="231" s="1"/>
        <i x="295" s="1"/>
        <i x="239" s="1"/>
        <i x="109" s="1"/>
        <i x="170" s="1"/>
        <i x="131" s="1"/>
        <i x="85" s="1"/>
        <i x="213" s="1"/>
        <i x="168" s="1"/>
        <i x="287" s="1"/>
        <i x="128" s="1"/>
        <i x="145" s="1"/>
        <i x="245" s="1"/>
        <i x="160" s="1"/>
        <i x="221" s="1"/>
        <i x="201" s="1"/>
        <i x="69" s="1"/>
        <i x="20" s="1"/>
        <i x="76" s="1"/>
        <i x="225" s="1"/>
        <i x="93" s="1"/>
        <i x="19" s="1"/>
        <i x="65" s="1"/>
        <i x="87" s="1"/>
        <i x="16" s="1"/>
        <i x="292" s="1"/>
        <i x="84" s="1"/>
        <i x="6" s="1"/>
        <i x="66" s="1"/>
        <i x="217" s="1"/>
        <i x="238" s="1"/>
        <i x="248" s="1"/>
        <i x="203" s="1"/>
        <i x="41" s="1"/>
        <i x="35" s="1"/>
        <i x="22" s="1"/>
        <i x="246" s="1"/>
        <i x="229" s="1"/>
        <i x="253" s="1"/>
        <i x="244" s="1"/>
        <i x="2" s="1"/>
        <i x="166" s="1"/>
        <i x="126" s="1"/>
        <i x="94" s="1"/>
        <i x="282" s="1"/>
        <i x="119" s="1"/>
        <i x="1" s="1"/>
        <i x="118" s="1"/>
        <i x="243" s="1"/>
        <i x="259" s="1"/>
        <i x="285" s="1"/>
        <i x="290" s="1"/>
        <i x="7" s="1"/>
        <i x="55" s="1"/>
        <i x="100" s="1"/>
        <i x="43" s="1"/>
        <i x="161" s="1"/>
        <i x="208" s="1"/>
        <i x="147" s="1"/>
        <i x="10" s="1"/>
        <i x="122" s="1"/>
        <i x="123" s="1"/>
        <i x="32" s="1"/>
        <i x="38" s="1"/>
        <i x="178" s="1"/>
        <i x="92" s="1"/>
        <i x="251" s="1"/>
        <i x="175" s="1"/>
        <i x="271" s="1"/>
        <i x="184" s="1"/>
        <i x="136" s="1"/>
        <i x="206" s="1"/>
        <i x="11" s="1"/>
        <i x="96" s="1"/>
        <i x="212" s="1"/>
        <i x="173" s="1"/>
        <i x="113" s="1"/>
        <i x="218" s="1"/>
        <i x="17" s="1"/>
        <i x="77" s="1"/>
        <i x="135" s="1"/>
        <i x="158" s="1"/>
        <i x="237" s="1"/>
        <i x="90" s="1"/>
        <i x="30" s="1"/>
        <i x="186" s="1"/>
        <i x="219" s="1"/>
        <i x="80" s="1"/>
        <i x="224" s="1"/>
        <i x="62" s="1"/>
        <i x="51" s="1"/>
        <i x="70" s="1"/>
        <i x="149" s="1"/>
        <i x="255" s="1"/>
        <i x="99" s="1"/>
        <i x="14" s="1"/>
        <i x="71" s="1"/>
        <i x="98" s="1"/>
        <i x="79" s="1"/>
        <i x="289" s="1"/>
        <i x="156" s="1"/>
        <i x="176" s="1"/>
        <i x="281" s="1"/>
        <i x="105" s="1"/>
        <i x="88" s="1"/>
        <i x="138" s="1"/>
        <i x="49" s="1"/>
        <i x="18" s="1"/>
        <i x="9" s="1"/>
        <i x="114" s="1"/>
        <i x="232" s="1"/>
        <i x="107" s="1"/>
        <i x="112" s="1"/>
        <i x="268" s="1"/>
        <i x="117" s="1"/>
        <i x="234" s="1"/>
        <i x="141" s="1"/>
        <i x="48" s="1"/>
        <i x="241" s="1"/>
        <i x="56" s="1"/>
        <i x="134" s="1"/>
        <i x="95" s="1"/>
        <i x="223" s="1"/>
        <i x="236" s="1"/>
        <i x="25" s="1"/>
        <i x="277" s="1"/>
        <i x="26" s="1"/>
        <i x="83" s="1"/>
        <i x="155" s="1"/>
        <i x="127" s="1"/>
        <i x="265" s="1"/>
        <i x="177" s="1"/>
        <i x="67" s="1"/>
        <i x="153" s="1"/>
        <i x="191" s="1"/>
        <i x="216" s="1"/>
        <i x="279" s="1"/>
        <i x="188" s="1"/>
        <i x="199" s="1"/>
        <i x="75" s="1"/>
        <i x="165" s="1"/>
        <i x="294" s="1"/>
        <i x="258" s="1"/>
        <i x="228" s="1"/>
        <i x="222" s="1"/>
        <i x="187" s="1"/>
        <i x="115" s="1"/>
        <i x="267" s="1"/>
        <i x="198" s="1"/>
        <i x="78" s="1"/>
        <i x="280" s="1"/>
        <i x="54" s="1"/>
        <i x="121" s="1"/>
        <i x="227" s="1"/>
        <i x="181" s="1"/>
        <i x="60" s="1"/>
        <i x="44" s="1"/>
        <i x="273" s="1"/>
        <i x="148" s="1"/>
        <i x="144" s="1"/>
        <i x="82" s="1"/>
        <i x="263" s="1"/>
        <i x="284" s="1"/>
        <i x="91" s="1"/>
        <i x="59" s="1"/>
        <i x="157" s="1"/>
        <i x="242" s="1"/>
        <i x="185" s="1"/>
        <i x="102" s="1"/>
        <i x="57" s="1"/>
        <i x="286" s="1"/>
        <i x="297" s="1"/>
        <i x="39" s="1"/>
        <i x="81" s="1"/>
        <i x="209" s="1"/>
        <i x="151" s="1"/>
        <i x="101" s="1"/>
        <i x="52" s="1"/>
        <i x="137" s="1"/>
        <i x="162" s="1"/>
        <i x="266" s="1"/>
        <i x="45" s="1"/>
        <i x="61" s="1"/>
        <i x="215" s="1"/>
        <i x="46" s="1"/>
        <i x="146" s="1"/>
        <i x="47" s="1"/>
        <i x="291" s="1"/>
        <i x="143" s="1"/>
        <i x="53" s="1"/>
        <i x="190" s="1"/>
        <i x="226" s="1"/>
        <i x="3" s="1"/>
        <i x="247" s="1"/>
        <i x="15" s="1"/>
        <i x="5" s="1"/>
        <i x="36" s="1"/>
        <i x="103" s="1"/>
        <i x="278" s="1"/>
        <i x="73" s="1"/>
        <i x="220" s="1"/>
        <i x="86" s="1"/>
        <i x="12" s="1"/>
        <i x="139" s="1"/>
        <i x="13" s="1"/>
        <i x="264" s="1"/>
        <i x="288" s="1"/>
        <i x="192" s="1"/>
        <i x="174" s="1"/>
        <i x="89" s="1"/>
        <i x="202" s="1"/>
        <i x="97" s="1"/>
        <i x="172" s="1"/>
        <i x="4" s="1"/>
        <i x="252" s="1"/>
        <i x="193" s="1"/>
        <i x="129" s="1"/>
        <i x="256" s="1"/>
        <i x="230" s="1"/>
        <i x="42" s="1"/>
        <i x="272" s="1"/>
        <i x="180" s="1"/>
        <i x="154" s="1"/>
        <i x="8" s="1"/>
        <i x="283" s="1"/>
        <i x="183" s="1"/>
        <i x="182" s="1"/>
        <i x="257" s="1"/>
        <i x="159" s="1"/>
        <i x="34" s="1"/>
        <i x="196" s="1"/>
        <i x="140" s="1"/>
        <i x="274" s="1"/>
        <i x="132" s="1"/>
        <i x="270" s="1"/>
        <i x="254" s="1"/>
        <i x="29" s="1"/>
        <i x="179" s="1"/>
        <i x="171" s="1"/>
        <i x="269" s="1"/>
        <i x="167" s="1"/>
        <i x="293" s="1"/>
        <i x="210" s="1"/>
        <i x="72" s="1"/>
        <i x="261" s="1"/>
        <i x="249" s="1"/>
        <i x="260" s="1"/>
        <i x="116" s="1"/>
        <i x="125" s="1"/>
        <i x="262" s="1"/>
        <i x="27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51E3120-C8D5-470C-B8DF-D893D59EE2EF}" sourceName="Region">
  <pivotTables>
    <pivotTable tabId="12" name="PivotTable1"/>
  </pivotTables>
  <data>
    <tabular pivotCacheId="1023365445">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F8B2CC-B28B-4D06-87DB-E8DED552B8AF}" sourceName="Month">
  <pivotTables>
    <pivotTable tabId="2" name="PivotTable1"/>
    <pivotTable tabId="9" name="PivotTable2"/>
    <pivotTable tabId="10" name="PivotTable3"/>
    <pivotTable tabId="4" name="PivotTable2"/>
    <pivotTable tabId="5" name="PivotTable3"/>
    <pivotTable tabId="6" name="PivotTable4"/>
    <pivotTable tabId="12" name="PivotTable1"/>
  </pivotTables>
  <data>
    <tabular pivotCacheId="102336544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834ADB9-3933-48FC-AC2C-9BDFD697948B}" cache="Slicer_Category" caption="Category" rowHeight="234950"/>
  <slicer name="Region" xr10:uid="{FA7117F1-D4F3-475A-80EE-F6F51B2DA7BB}" cache="Slicer_Region" caption="Region" rowHeight="234950"/>
  <slicer name="Year" xr10:uid="{CD2F5C52-B53B-47C4-8E75-01EC4DFAEE64}" cache="Slicer_Year" caption="Year" rowHeight="234950"/>
  <slicer name="Month" xr10:uid="{29C66A80-FE40-4BBC-881E-55A3ADF07AB6}"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720DBA0D-301E-44ED-83AA-640CADFD009F}" cache="Slicer_Revenue" caption="Revenu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BCC08B5-B6EB-404C-AB63-267B829155F4}" cache="Slicer_Region1"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718C864-1019-418A-9EFC-3FFC2BF577B8}" cache="Slicer_Category" caption="Category" startItem="3" rowHeight="234950"/>
  <slicer name="Region 3" xr10:uid="{13BBDA4C-472B-49C9-9474-E056E0BCE6FB}" cache="Slicer_Region" caption="Region" startItem="1" rowHeight="234950"/>
  <slicer name="Year 1" xr10:uid="{04FEB596-D152-4FEC-AB84-723173CB346C}" cache="Slicer_Year" caption="Year" rowHeight="234950"/>
  <slicer name="Month 1" xr10:uid="{F21D6E0A-7405-4CCE-814F-7CB57F45588A}" cache="Slicer_Month" caption="Month" startItem="1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41DA9-17B6-4843-B530-8E08E354272D}" name="SalesData" displayName="SalesData" ref="A1:K651">
  <autoFilter ref="A1:K651" xr:uid="{36941DA9-17B6-4843-B530-8E08E354272D}"/>
  <tableColumns count="11">
    <tableColumn id="1" xr3:uid="{FB14EF01-001C-422C-9614-3F2A224320FE}" name="Order ID" dataDxfId="100"/>
    <tableColumn id="2" xr3:uid="{4F9A5F0B-67EC-4653-859E-B866B1A0013B}" name="Order Date" dataDxfId="99"/>
    <tableColumn id="3" xr3:uid="{BC2320A9-5CAB-49EF-9A81-59CFF38F0E45}" name="Product" dataDxfId="98"/>
    <tableColumn id="4" xr3:uid="{5F8986EF-6D07-4040-B808-92CF9ECA5098}" name="Category" dataDxfId="97"/>
    <tableColumn id="5" xr3:uid="{C536D5DA-6462-4826-B715-E0159965473E}" name="Region" dataDxfId="96"/>
    <tableColumn id="6" xr3:uid="{F3845E94-2C84-4926-9B21-27A07DB364C9}" name="Sales Rep" dataDxfId="95"/>
    <tableColumn id="7" xr3:uid="{5FF633D7-3873-4403-BB03-DAF37EC653FA}" name="Units Sold" dataDxfId="94"/>
    <tableColumn id="8" xr3:uid="{01C99DA7-FF70-4D45-9A6C-4CCC90181FCE}" name="Unit Price" dataDxfId="93"/>
    <tableColumn id="9" xr3:uid="{9587FAF7-69F6-4F54-8A00-9B759E0084DD}" name="Revenue" dataDxfId="92"/>
    <tableColumn id="10" xr3:uid="{41D09F2E-201A-46CD-A81E-845F7AA19CCD}" name="Month" dataDxfId="91">
      <calculatedColumnFormula>TEXT(B2,"mmm")</calculatedColumnFormula>
    </tableColumn>
    <tableColumn id="11" xr3:uid="{FC3B00B5-CCC9-4103-B20E-6FB4C626C966}" name="Year" dataDxfId="90">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1D07-3F80-46E6-B360-D6BAA3333001}">
  <dimension ref="A1:M26"/>
  <sheetViews>
    <sheetView zoomScaleNormal="100" workbookViewId="0">
      <selection activeCell="K31" sqref="K31"/>
    </sheetView>
  </sheetViews>
  <sheetFormatPr defaultRowHeight="14.4" x14ac:dyDescent="0.3"/>
  <cols>
    <col min="1" max="1" width="12.5546875" bestFit="1" customWidth="1"/>
    <col min="2" max="2" width="14.88671875" bestFit="1" customWidth="1"/>
  </cols>
  <sheetData>
    <row r="1" spans="1:13" x14ac:dyDescent="0.3">
      <c r="A1" s="18"/>
      <c r="B1" s="11"/>
      <c r="C1" s="11"/>
      <c r="D1" s="11"/>
      <c r="E1" s="11"/>
      <c r="F1" s="11"/>
      <c r="G1" s="11"/>
      <c r="H1" s="11"/>
      <c r="I1" s="11"/>
      <c r="J1" s="11"/>
      <c r="K1" s="11"/>
      <c r="L1" s="11"/>
      <c r="M1" s="12"/>
    </row>
    <row r="2" spans="1:13" ht="15" thickBot="1" x14ac:dyDescent="0.35">
      <c r="A2" s="33" t="s">
        <v>715</v>
      </c>
      <c r="B2" s="34"/>
      <c r="C2" s="34"/>
      <c r="D2" s="34"/>
      <c r="E2" s="34"/>
      <c r="F2" s="34"/>
      <c r="G2" s="34"/>
      <c r="H2" s="34"/>
      <c r="I2" s="34"/>
      <c r="J2" s="34"/>
      <c r="K2" s="34"/>
      <c r="L2" s="34"/>
      <c r="M2" s="13"/>
    </row>
    <row r="3" spans="1:13" ht="15" thickBot="1" x14ac:dyDescent="0.35">
      <c r="A3" s="25" t="s">
        <v>696</v>
      </c>
      <c r="B3" s="30" t="s">
        <v>710</v>
      </c>
      <c r="M3" s="13"/>
    </row>
    <row r="4" spans="1:13" x14ac:dyDescent="0.3">
      <c r="A4" s="26" t="s">
        <v>697</v>
      </c>
      <c r="B4" s="22">
        <v>534241.55000000005</v>
      </c>
      <c r="M4" s="13"/>
    </row>
    <row r="5" spans="1:13" x14ac:dyDescent="0.3">
      <c r="A5" s="27" t="s">
        <v>698</v>
      </c>
      <c r="B5" s="23">
        <v>325580.45</v>
      </c>
      <c r="M5" s="13"/>
    </row>
    <row r="6" spans="1:13" x14ac:dyDescent="0.3">
      <c r="A6" s="27" t="s">
        <v>699</v>
      </c>
      <c r="B6" s="23">
        <v>341270.05</v>
      </c>
      <c r="M6" s="13"/>
    </row>
    <row r="7" spans="1:13" x14ac:dyDescent="0.3">
      <c r="A7" s="27" t="s">
        <v>700</v>
      </c>
      <c r="B7" s="23">
        <v>596800.30000000005</v>
      </c>
      <c r="M7" s="13"/>
    </row>
    <row r="8" spans="1:13" x14ac:dyDescent="0.3">
      <c r="A8" s="27" t="s">
        <v>701</v>
      </c>
      <c r="B8" s="23">
        <v>404613.64999999997</v>
      </c>
      <c r="M8" s="13"/>
    </row>
    <row r="9" spans="1:13" x14ac:dyDescent="0.3">
      <c r="A9" s="27" t="s">
        <v>702</v>
      </c>
      <c r="B9" s="23">
        <v>652867.75</v>
      </c>
      <c r="M9" s="13"/>
    </row>
    <row r="10" spans="1:13" x14ac:dyDescent="0.3">
      <c r="A10" s="27" t="s">
        <v>703</v>
      </c>
      <c r="B10" s="23">
        <v>387181.09999999992</v>
      </c>
      <c r="M10" s="13"/>
    </row>
    <row r="11" spans="1:13" x14ac:dyDescent="0.3">
      <c r="A11" s="27" t="s">
        <v>704</v>
      </c>
      <c r="B11" s="23">
        <v>346721.39999999997</v>
      </c>
      <c r="M11" s="13"/>
    </row>
    <row r="12" spans="1:13" x14ac:dyDescent="0.3">
      <c r="A12" s="27" t="s">
        <v>705</v>
      </c>
      <c r="B12" s="23">
        <v>333063.44999999995</v>
      </c>
      <c r="M12" s="13"/>
    </row>
    <row r="13" spans="1:13" x14ac:dyDescent="0.3">
      <c r="A13" s="27" t="s">
        <v>706</v>
      </c>
      <c r="B13" s="23">
        <v>636141.19999999995</v>
      </c>
      <c r="M13" s="13"/>
    </row>
    <row r="14" spans="1:13" x14ac:dyDescent="0.3">
      <c r="A14" s="27" t="s">
        <v>707</v>
      </c>
      <c r="B14" s="23">
        <v>536762.50000000012</v>
      </c>
      <c r="M14" s="13"/>
    </row>
    <row r="15" spans="1:13" ht="15" thickBot="1" x14ac:dyDescent="0.35">
      <c r="A15" s="28" t="s">
        <v>708</v>
      </c>
      <c r="B15" s="23">
        <v>476426.30000000005</v>
      </c>
      <c r="M15" s="13"/>
    </row>
    <row r="16" spans="1:13" ht="15" thickBot="1" x14ac:dyDescent="0.35">
      <c r="A16" s="29" t="s">
        <v>709</v>
      </c>
      <c r="B16" s="24">
        <v>5571669.7000000002</v>
      </c>
      <c r="M16" s="13"/>
    </row>
    <row r="17" spans="1:13" x14ac:dyDescent="0.3">
      <c r="A17" s="14"/>
      <c r="M17" s="13"/>
    </row>
    <row r="18" spans="1:13" x14ac:dyDescent="0.3">
      <c r="A18" s="14"/>
      <c r="B18" s="21">
        <f>GETPIVOTDATA("Revenue",$A$3)</f>
        <v>5571669.7000000002</v>
      </c>
      <c r="M18" s="13"/>
    </row>
    <row r="19" spans="1:13" x14ac:dyDescent="0.3">
      <c r="A19" s="14"/>
      <c r="M19" s="13"/>
    </row>
    <row r="20" spans="1:13" x14ac:dyDescent="0.3">
      <c r="A20" s="14"/>
      <c r="M20" s="13"/>
    </row>
    <row r="21" spans="1:13" x14ac:dyDescent="0.3">
      <c r="A21" s="14"/>
      <c r="M21" s="13"/>
    </row>
    <row r="22" spans="1:13" x14ac:dyDescent="0.3">
      <c r="A22" s="14"/>
      <c r="M22" s="13"/>
    </row>
    <row r="23" spans="1:13" x14ac:dyDescent="0.3">
      <c r="A23" s="14"/>
      <c r="M23" s="13"/>
    </row>
    <row r="24" spans="1:13" x14ac:dyDescent="0.3">
      <c r="A24" s="14"/>
      <c r="M24" s="13"/>
    </row>
    <row r="25" spans="1:13" x14ac:dyDescent="0.3">
      <c r="A25" s="14"/>
      <c r="M25" s="13"/>
    </row>
    <row r="26" spans="1:13" ht="15" thickBot="1" x14ac:dyDescent="0.35">
      <c r="A26" s="15"/>
      <c r="B26" s="16"/>
      <c r="C26" s="16"/>
      <c r="D26" s="16"/>
      <c r="E26" s="16"/>
      <c r="F26" s="16"/>
      <c r="G26" s="16"/>
      <c r="H26" s="16"/>
      <c r="I26" s="16"/>
      <c r="J26" s="16"/>
      <c r="K26" s="16"/>
      <c r="L26" s="16"/>
      <c r="M26" s="17"/>
    </row>
  </sheetData>
  <mergeCells count="1">
    <mergeCell ref="A2:L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94242-7AED-442C-BDFE-AE4AA3A91A11}">
  <dimension ref="A1:J15"/>
  <sheetViews>
    <sheetView workbookViewId="0">
      <selection activeCell="C17" sqref="C17"/>
    </sheetView>
  </sheetViews>
  <sheetFormatPr defaultRowHeight="14.4" x14ac:dyDescent="0.3"/>
  <cols>
    <col min="1" max="1" width="14.21875" bestFit="1" customWidth="1"/>
    <col min="2" max="2" width="14.88671875" bestFit="1" customWidth="1"/>
    <col min="3" max="3" width="11.109375" bestFit="1" customWidth="1"/>
  </cols>
  <sheetData>
    <row r="1" spans="1:10" ht="15" thickBot="1" x14ac:dyDescent="0.35"/>
    <row r="2" spans="1:10" ht="18.600000000000001" thickBot="1" x14ac:dyDescent="0.35">
      <c r="A2" s="35" t="s">
        <v>716</v>
      </c>
      <c r="B2" s="36"/>
      <c r="C2" s="36"/>
      <c r="D2" s="36"/>
      <c r="E2" s="36"/>
      <c r="F2" s="36"/>
      <c r="G2" s="36"/>
      <c r="H2" s="36"/>
      <c r="I2" s="36"/>
      <c r="J2" s="37"/>
    </row>
    <row r="3" spans="1:10" ht="15" thickBot="1" x14ac:dyDescent="0.35">
      <c r="A3" s="25" t="s">
        <v>696</v>
      </c>
      <c r="B3" s="30" t="s">
        <v>710</v>
      </c>
      <c r="J3" s="13"/>
    </row>
    <row r="4" spans="1:10" x14ac:dyDescent="0.3">
      <c r="A4" s="26" t="s">
        <v>11</v>
      </c>
      <c r="B4" s="22">
        <v>130220.2</v>
      </c>
      <c r="J4" s="13"/>
    </row>
    <row r="5" spans="1:10" x14ac:dyDescent="0.3">
      <c r="A5" s="27" t="s">
        <v>41</v>
      </c>
      <c r="B5" s="23">
        <v>859132.00000000023</v>
      </c>
      <c r="J5" s="13"/>
    </row>
    <row r="6" spans="1:10" x14ac:dyDescent="0.3">
      <c r="A6" s="27" t="s">
        <v>16</v>
      </c>
      <c r="B6" s="23">
        <v>1918711.3000000003</v>
      </c>
      <c r="J6" s="13"/>
    </row>
    <row r="7" spans="1:10" x14ac:dyDescent="0.3">
      <c r="A7" s="27" t="s">
        <v>28</v>
      </c>
      <c r="B7" s="23">
        <v>1005979.0999999999</v>
      </c>
      <c r="J7" s="13"/>
    </row>
    <row r="8" spans="1:10" ht="15" thickBot="1" x14ac:dyDescent="0.35">
      <c r="A8" s="28" t="s">
        <v>31</v>
      </c>
      <c r="B8" s="23">
        <v>1657627.0999999999</v>
      </c>
      <c r="J8" s="13"/>
    </row>
    <row r="9" spans="1:10" ht="15" thickBot="1" x14ac:dyDescent="0.35">
      <c r="A9" s="29" t="s">
        <v>709</v>
      </c>
      <c r="B9" s="24">
        <v>5571669.7000000002</v>
      </c>
      <c r="J9" s="13"/>
    </row>
    <row r="10" spans="1:10" x14ac:dyDescent="0.3">
      <c r="A10" s="14"/>
      <c r="J10" s="13"/>
    </row>
    <row r="11" spans="1:10" x14ac:dyDescent="0.3">
      <c r="A11" s="14"/>
      <c r="J11" s="13"/>
    </row>
    <row r="12" spans="1:10" x14ac:dyDescent="0.3">
      <c r="A12" s="14" t="e">
        <f>AVERAGE(I2:I651)</f>
        <v>#DIV/0!</v>
      </c>
      <c r="J12" s="13"/>
    </row>
    <row r="13" spans="1:10" x14ac:dyDescent="0.3">
      <c r="A13" s="14"/>
      <c r="J13" s="13"/>
    </row>
    <row r="14" spans="1:10" x14ac:dyDescent="0.3">
      <c r="A14" s="14"/>
      <c r="J14" s="13"/>
    </row>
    <row r="15" spans="1:10" ht="15" thickBot="1" x14ac:dyDescent="0.35">
      <c r="A15" s="15"/>
      <c r="B15" s="16"/>
      <c r="C15" s="16"/>
      <c r="D15" s="16"/>
      <c r="E15" s="16"/>
      <c r="F15" s="16"/>
      <c r="G15" s="16"/>
      <c r="H15" s="16"/>
      <c r="I15" s="16"/>
      <c r="J15" s="17"/>
    </row>
  </sheetData>
  <mergeCells count="1">
    <mergeCell ref="A2:J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4C8B-DE72-4169-A743-9FC97F519223}">
  <dimension ref="A1:J19"/>
  <sheetViews>
    <sheetView workbookViewId="0">
      <selection activeCell="D22" sqref="D22"/>
    </sheetView>
  </sheetViews>
  <sheetFormatPr defaultRowHeight="14.4" x14ac:dyDescent="0.3"/>
  <cols>
    <col min="1" max="1" width="12.5546875" bestFit="1" customWidth="1"/>
    <col min="2" max="2" width="14.88671875" bestFit="1" customWidth="1"/>
    <col min="10" max="10" width="9.88671875" customWidth="1"/>
  </cols>
  <sheetData>
    <row r="1" spans="1:10" ht="15" thickBot="1" x14ac:dyDescent="0.35"/>
    <row r="2" spans="1:10" x14ac:dyDescent="0.3">
      <c r="A2" s="18"/>
      <c r="B2" s="11"/>
      <c r="C2" s="11"/>
      <c r="D2" s="11"/>
      <c r="E2" s="11"/>
      <c r="F2" s="11"/>
      <c r="G2" s="11"/>
      <c r="H2" s="11"/>
      <c r="I2" s="11"/>
      <c r="J2" s="12"/>
    </row>
    <row r="3" spans="1:10" ht="15" thickBot="1" x14ac:dyDescent="0.35">
      <c r="A3" s="33" t="s">
        <v>710</v>
      </c>
      <c r="B3" s="34"/>
      <c r="C3" s="34"/>
      <c r="D3" s="34"/>
      <c r="E3" s="34"/>
      <c r="F3" s="34"/>
      <c r="G3" s="34"/>
      <c r="H3" s="34"/>
      <c r="I3" s="34"/>
      <c r="J3" s="38"/>
    </row>
    <row r="4" spans="1:10" ht="15" thickBot="1" x14ac:dyDescent="0.35">
      <c r="A4" s="25" t="s">
        <v>696</v>
      </c>
      <c r="B4" s="30" t="s">
        <v>710</v>
      </c>
      <c r="J4" s="13"/>
    </row>
    <row r="5" spans="1:10" x14ac:dyDescent="0.3">
      <c r="A5" s="26" t="s">
        <v>35</v>
      </c>
      <c r="B5" s="22">
        <v>1036209.2499999999</v>
      </c>
      <c r="J5" s="13"/>
    </row>
    <row r="6" spans="1:10" x14ac:dyDescent="0.3">
      <c r="A6" s="27" t="s">
        <v>24</v>
      </c>
      <c r="B6" s="23">
        <v>1936643.2999999998</v>
      </c>
      <c r="J6" s="13"/>
    </row>
    <row r="7" spans="1:10" x14ac:dyDescent="0.3">
      <c r="A7" s="27" t="s">
        <v>12</v>
      </c>
      <c r="B7" s="23">
        <v>1448658.1500000004</v>
      </c>
      <c r="J7" s="13"/>
    </row>
    <row r="8" spans="1:10" ht="15" thickBot="1" x14ac:dyDescent="0.35">
      <c r="A8" s="28" t="s">
        <v>17</v>
      </c>
      <c r="B8" s="23">
        <v>1150158.9999999995</v>
      </c>
      <c r="J8" s="13"/>
    </row>
    <row r="9" spans="1:10" ht="15" thickBot="1" x14ac:dyDescent="0.35">
      <c r="A9" s="29" t="s">
        <v>709</v>
      </c>
      <c r="B9" s="24">
        <v>5571669.6999999993</v>
      </c>
      <c r="J9" s="13"/>
    </row>
    <row r="10" spans="1:10" x14ac:dyDescent="0.3">
      <c r="A10" s="14"/>
      <c r="J10" s="13"/>
    </row>
    <row r="11" spans="1:10" x14ac:dyDescent="0.3">
      <c r="A11" s="14"/>
      <c r="B11" s="19">
        <f>GETPIVOTDATA("Revenue",$A$4)</f>
        <v>5571669.6999999993</v>
      </c>
      <c r="J11" s="13"/>
    </row>
    <row r="12" spans="1:10" x14ac:dyDescent="0.3">
      <c r="A12" s="14"/>
      <c r="J12" s="13"/>
    </row>
    <row r="13" spans="1:10" x14ac:dyDescent="0.3">
      <c r="A13" s="14"/>
      <c r="B13" s="20">
        <f>GETPIVOTDATA("Revenue",$A$4)</f>
        <v>5571669.6999999993</v>
      </c>
      <c r="J13" s="13"/>
    </row>
    <row r="14" spans="1:10" x14ac:dyDescent="0.3">
      <c r="A14" s="14"/>
      <c r="J14" s="13"/>
    </row>
    <row r="15" spans="1:10" x14ac:dyDescent="0.3">
      <c r="A15" s="14"/>
      <c r="J15" s="13"/>
    </row>
    <row r="16" spans="1:10" x14ac:dyDescent="0.3">
      <c r="A16" s="14"/>
      <c r="J16" s="13"/>
    </row>
    <row r="17" spans="1:10" x14ac:dyDescent="0.3">
      <c r="A17" s="14"/>
      <c r="J17" s="13"/>
    </row>
    <row r="18" spans="1:10" x14ac:dyDescent="0.3">
      <c r="A18" s="14"/>
      <c r="J18" s="13"/>
    </row>
    <row r="19" spans="1:10" ht="15" thickBot="1" x14ac:dyDescent="0.35">
      <c r="A19" s="15"/>
      <c r="B19" s="16"/>
      <c r="C19" s="16"/>
      <c r="D19" s="16"/>
      <c r="E19" s="16"/>
      <c r="F19" s="16"/>
      <c r="G19" s="16"/>
      <c r="H19" s="16"/>
      <c r="I19" s="16"/>
      <c r="J19" s="17"/>
    </row>
  </sheetData>
  <mergeCells count="1">
    <mergeCell ref="A3:J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BACA-49FA-4E45-85B3-AADCCD2A15E8}">
  <dimension ref="A1:K23"/>
  <sheetViews>
    <sheetView zoomScale="68" workbookViewId="0">
      <selection activeCell="E33" sqref="E33"/>
    </sheetView>
  </sheetViews>
  <sheetFormatPr defaultRowHeight="14.4" x14ac:dyDescent="0.3"/>
  <cols>
    <col min="1" max="1" width="14.33203125" bestFit="1" customWidth="1"/>
    <col min="2" max="2" width="15.77734375" bestFit="1" customWidth="1"/>
  </cols>
  <sheetData>
    <row r="1" spans="1:11" ht="15" thickBot="1" x14ac:dyDescent="0.35">
      <c r="A1" s="31" t="s">
        <v>695</v>
      </c>
      <c r="B1" s="32" t="s">
        <v>713</v>
      </c>
    </row>
    <row r="2" spans="1:11" ht="15" thickBot="1" x14ac:dyDescent="0.35">
      <c r="A2" s="31" t="s">
        <v>694</v>
      </c>
      <c r="B2" s="32" t="s">
        <v>713</v>
      </c>
    </row>
    <row r="3" spans="1:11" ht="15" thickBot="1" x14ac:dyDescent="0.35">
      <c r="A3" s="39" t="s">
        <v>714</v>
      </c>
      <c r="B3" s="40"/>
      <c r="C3" s="40"/>
      <c r="D3" s="40"/>
      <c r="E3" s="40"/>
      <c r="F3" s="40"/>
      <c r="G3" s="40"/>
      <c r="H3" s="40"/>
      <c r="I3" s="40"/>
      <c r="J3" s="40"/>
      <c r="K3" s="41"/>
    </row>
    <row r="4" spans="1:11" ht="15" thickBot="1" x14ac:dyDescent="0.35">
      <c r="A4" s="25" t="s">
        <v>696</v>
      </c>
      <c r="B4" s="30" t="s">
        <v>710</v>
      </c>
      <c r="K4" s="13"/>
    </row>
    <row r="5" spans="1:11" x14ac:dyDescent="0.3">
      <c r="A5" s="26" t="s">
        <v>18</v>
      </c>
      <c r="B5" s="22">
        <v>900523</v>
      </c>
      <c r="K5" s="13"/>
    </row>
    <row r="6" spans="1:11" x14ac:dyDescent="0.3">
      <c r="A6" s="27" t="s">
        <v>21</v>
      </c>
      <c r="B6" s="23">
        <v>1013072.05</v>
      </c>
      <c r="K6" s="13"/>
    </row>
    <row r="7" spans="1:11" x14ac:dyDescent="0.3">
      <c r="A7" s="27" t="s">
        <v>32</v>
      </c>
      <c r="B7" s="23">
        <v>1037551.45</v>
      </c>
      <c r="K7" s="13"/>
    </row>
    <row r="8" spans="1:11" x14ac:dyDescent="0.3">
      <c r="A8" s="27" t="s">
        <v>47</v>
      </c>
      <c r="B8" s="23">
        <v>918684.79999999993</v>
      </c>
      <c r="K8" s="13"/>
    </row>
    <row r="9" spans="1:11" x14ac:dyDescent="0.3">
      <c r="A9" s="27" t="s">
        <v>13</v>
      </c>
      <c r="B9" s="23">
        <v>848197.65</v>
      </c>
      <c r="K9" s="13"/>
    </row>
    <row r="10" spans="1:11" ht="15" thickBot="1" x14ac:dyDescent="0.35">
      <c r="A10" s="28" t="s">
        <v>25</v>
      </c>
      <c r="B10" s="23">
        <v>853640.75000000012</v>
      </c>
      <c r="K10" s="13"/>
    </row>
    <row r="11" spans="1:11" ht="15" thickBot="1" x14ac:dyDescent="0.35">
      <c r="A11" s="29" t="s">
        <v>709</v>
      </c>
      <c r="B11" s="24">
        <v>5571669.7000000002</v>
      </c>
      <c r="K11" s="13"/>
    </row>
    <row r="12" spans="1:11" x14ac:dyDescent="0.3">
      <c r="A12" s="14"/>
      <c r="K12" s="13"/>
    </row>
    <row r="13" spans="1:11" x14ac:dyDescent="0.3">
      <c r="A13" s="14"/>
      <c r="K13" s="13"/>
    </row>
    <row r="14" spans="1:11" x14ac:dyDescent="0.3">
      <c r="A14" s="14"/>
      <c r="K14" s="13"/>
    </row>
    <row r="15" spans="1:11" x14ac:dyDescent="0.3">
      <c r="A15" s="14"/>
      <c r="K15" s="13"/>
    </row>
    <row r="16" spans="1:11" x14ac:dyDescent="0.3">
      <c r="A16" s="14"/>
      <c r="K16" s="13"/>
    </row>
    <row r="17" spans="1:11" x14ac:dyDescent="0.3">
      <c r="A17" s="14"/>
      <c r="K17" s="13"/>
    </row>
    <row r="18" spans="1:11" x14ac:dyDescent="0.3">
      <c r="A18" s="14"/>
      <c r="K18" s="13"/>
    </row>
    <row r="19" spans="1:11" ht="15" thickBot="1" x14ac:dyDescent="0.35">
      <c r="A19" s="15"/>
      <c r="B19" s="16"/>
      <c r="C19" s="16"/>
      <c r="D19" s="16"/>
      <c r="E19" s="16"/>
      <c r="F19" s="16"/>
      <c r="G19" s="16"/>
      <c r="H19" s="16"/>
      <c r="I19" s="16"/>
      <c r="J19" s="16"/>
      <c r="K19" s="17"/>
    </row>
    <row r="23" spans="1:11" x14ac:dyDescent="0.3">
      <c r="F23" s="10"/>
    </row>
  </sheetData>
  <mergeCells count="1">
    <mergeCell ref="A3:K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2214-1CB0-4712-81C3-20A69F3FB405}">
  <dimension ref="A1:B6"/>
  <sheetViews>
    <sheetView workbookViewId="0">
      <selection activeCell="B10" sqref="B10"/>
    </sheetView>
  </sheetViews>
  <sheetFormatPr defaultRowHeight="14.4" x14ac:dyDescent="0.3"/>
  <cols>
    <col min="1" max="1" width="15.88671875" bestFit="1" customWidth="1"/>
  </cols>
  <sheetData>
    <row r="1" spans="1:2" ht="15" thickBot="1" x14ac:dyDescent="0.35"/>
    <row r="2" spans="1:2" ht="15" thickBot="1" x14ac:dyDescent="0.35">
      <c r="A2" s="18"/>
      <c r="B2" s="12"/>
    </row>
    <row r="3" spans="1:2" ht="15" thickBot="1" x14ac:dyDescent="0.35">
      <c r="A3" s="30" t="s">
        <v>711</v>
      </c>
      <c r="B3" s="13"/>
    </row>
    <row r="4" spans="1:2" ht="15" thickBot="1" x14ac:dyDescent="0.35">
      <c r="A4" s="45">
        <v>650</v>
      </c>
      <c r="B4" s="13"/>
    </row>
    <row r="5" spans="1:2" x14ac:dyDescent="0.3">
      <c r="A5" s="18"/>
      <c r="B5" s="12"/>
    </row>
    <row r="6" spans="1:2" ht="15" thickBot="1" x14ac:dyDescent="0.35">
      <c r="A6" s="15">
        <f>GETPIVOTDATA("Order ID",$A$3)</f>
        <v>650</v>
      </c>
      <c r="B6"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EAA9-C3DA-4CAC-95EC-7F54F04FE956}">
  <dimension ref="A1:B8"/>
  <sheetViews>
    <sheetView workbookViewId="0">
      <selection activeCell="D13" sqref="D13"/>
    </sheetView>
  </sheetViews>
  <sheetFormatPr defaultRowHeight="14.4" x14ac:dyDescent="0.3"/>
  <cols>
    <col min="1" max="1" width="16" bestFit="1" customWidth="1"/>
  </cols>
  <sheetData>
    <row r="1" spans="1:2" x14ac:dyDescent="0.3">
      <c r="A1" s="18"/>
      <c r="B1" s="12"/>
    </row>
    <row r="2" spans="1:2" ht="15" thickBot="1" x14ac:dyDescent="0.35">
      <c r="A2" s="14"/>
      <c r="B2" s="13"/>
    </row>
    <row r="3" spans="1:2" ht="15" thickBot="1" x14ac:dyDescent="0.35">
      <c r="A3" s="30" t="s">
        <v>712</v>
      </c>
      <c r="B3" s="13"/>
    </row>
    <row r="4" spans="1:2" ht="15" thickBot="1" x14ac:dyDescent="0.35">
      <c r="A4" s="45">
        <v>2823</v>
      </c>
      <c r="B4" s="13"/>
    </row>
    <row r="5" spans="1:2" ht="15" thickBot="1" x14ac:dyDescent="0.35">
      <c r="A5" s="14"/>
      <c r="B5" s="13"/>
    </row>
    <row r="6" spans="1:2" x14ac:dyDescent="0.3">
      <c r="A6" s="18"/>
      <c r="B6" s="12"/>
    </row>
    <row r="7" spans="1:2" x14ac:dyDescent="0.3">
      <c r="A7" s="14">
        <f>GETPIVOTDATA("Units Sold",$A$3)</f>
        <v>2823</v>
      </c>
      <c r="B7" s="13"/>
    </row>
    <row r="8" spans="1:2" ht="15" thickBot="1" x14ac:dyDescent="0.35">
      <c r="A8" s="15"/>
      <c r="B8"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69DA-1681-4E04-A607-357D6D28F6A6}">
  <dimension ref="A1:J18"/>
  <sheetViews>
    <sheetView workbookViewId="0">
      <selection activeCell="C21" sqref="C21"/>
    </sheetView>
  </sheetViews>
  <sheetFormatPr defaultRowHeight="14.4" x14ac:dyDescent="0.3"/>
  <cols>
    <col min="1" max="1" width="20.88671875" bestFit="1" customWidth="1"/>
    <col min="2" max="2" width="14.88671875" bestFit="1" customWidth="1"/>
  </cols>
  <sheetData>
    <row r="1" spans="1:10" x14ac:dyDescent="0.3">
      <c r="A1" s="18"/>
      <c r="B1" s="11"/>
      <c r="C1" s="11"/>
      <c r="D1" s="11"/>
      <c r="E1" s="11"/>
      <c r="F1" s="11"/>
      <c r="G1" s="11"/>
      <c r="H1" s="11"/>
      <c r="I1" s="11"/>
      <c r="J1" s="12"/>
    </row>
    <row r="2" spans="1:10" ht="14.4" customHeight="1" thickBot="1" x14ac:dyDescent="0.35">
      <c r="A2" s="42" t="s">
        <v>717</v>
      </c>
      <c r="B2" s="43"/>
      <c r="C2" s="43"/>
      <c r="D2" s="43"/>
      <c r="E2" s="43"/>
      <c r="F2" s="43"/>
      <c r="G2" s="43"/>
      <c r="H2" s="43"/>
      <c r="I2" s="43"/>
      <c r="J2" s="44"/>
    </row>
    <row r="3" spans="1:10" ht="15" thickBot="1" x14ac:dyDescent="0.35">
      <c r="A3" s="25" t="s">
        <v>696</v>
      </c>
      <c r="B3" s="30" t="s">
        <v>710</v>
      </c>
      <c r="J3" s="13"/>
    </row>
    <row r="4" spans="1:10" x14ac:dyDescent="0.3">
      <c r="A4" s="26" t="s">
        <v>45</v>
      </c>
      <c r="B4" s="22">
        <v>846021.15</v>
      </c>
      <c r="J4" s="13"/>
    </row>
    <row r="5" spans="1:10" x14ac:dyDescent="0.3">
      <c r="A5" s="27" t="s">
        <v>30</v>
      </c>
      <c r="B5" s="23">
        <v>604665.59999999998</v>
      </c>
      <c r="J5" s="13"/>
    </row>
    <row r="6" spans="1:10" x14ac:dyDescent="0.3">
      <c r="A6" s="27" t="s">
        <v>27</v>
      </c>
      <c r="B6" s="23">
        <v>577335</v>
      </c>
      <c r="J6" s="13"/>
    </row>
    <row r="7" spans="1:10" x14ac:dyDescent="0.3">
      <c r="A7" s="27" t="s">
        <v>52</v>
      </c>
      <c r="B7" s="23">
        <v>544263.89999999991</v>
      </c>
      <c r="J7" s="13"/>
    </row>
    <row r="8" spans="1:10" ht="15" thickBot="1" x14ac:dyDescent="0.35">
      <c r="A8" s="28" t="s">
        <v>107</v>
      </c>
      <c r="B8" s="23">
        <v>362560.1</v>
      </c>
      <c r="J8" s="13"/>
    </row>
    <row r="9" spans="1:10" ht="15" thickBot="1" x14ac:dyDescent="0.35">
      <c r="A9" s="29" t="s">
        <v>709</v>
      </c>
      <c r="B9" s="24">
        <v>2934845.75</v>
      </c>
      <c r="J9" s="13"/>
    </row>
    <row r="10" spans="1:10" x14ac:dyDescent="0.3">
      <c r="A10" s="14"/>
      <c r="J10" s="13"/>
    </row>
    <row r="11" spans="1:10" x14ac:dyDescent="0.3">
      <c r="A11" s="14"/>
      <c r="J11" s="13"/>
    </row>
    <row r="12" spans="1:10" x14ac:dyDescent="0.3">
      <c r="A12" s="14"/>
      <c r="J12" s="13"/>
    </row>
    <row r="13" spans="1:10" x14ac:dyDescent="0.3">
      <c r="A13" s="14"/>
      <c r="J13" s="13"/>
    </row>
    <row r="14" spans="1:10" x14ac:dyDescent="0.3">
      <c r="A14" s="14"/>
      <c r="J14" s="13"/>
    </row>
    <row r="15" spans="1:10" x14ac:dyDescent="0.3">
      <c r="A15" s="14"/>
      <c r="J15" s="13"/>
    </row>
    <row r="16" spans="1:10" x14ac:dyDescent="0.3">
      <c r="A16" s="14"/>
      <c r="J16" s="13"/>
    </row>
    <row r="17" spans="1:10" x14ac:dyDescent="0.3">
      <c r="A17" s="14"/>
      <c r="J17" s="13"/>
    </row>
    <row r="18" spans="1:10" ht="15" thickBot="1" x14ac:dyDescent="0.35">
      <c r="A18" s="15"/>
      <c r="B18" s="16"/>
      <c r="C18" s="16"/>
      <c r="D18" s="16"/>
      <c r="E18" s="16"/>
      <c r="F18" s="16"/>
      <c r="G18" s="16"/>
      <c r="H18" s="16"/>
      <c r="I18" s="16"/>
      <c r="J18" s="17"/>
    </row>
  </sheetData>
  <mergeCells count="1">
    <mergeCell ref="A2: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7EA4-EE7C-4738-867C-5DE5AF65EC44}">
  <dimension ref="A1"/>
  <sheetViews>
    <sheetView showGridLines="0" tabSelected="1" topLeftCell="C11" zoomScale="54" workbookViewId="0">
      <selection activeCell="AC52" sqref="AC52"/>
    </sheetView>
  </sheetViews>
  <sheetFormatPr defaultRowHeight="14.4" x14ac:dyDescent="0.3"/>
  <sheetData/>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6CE04-5771-4A8D-8E6A-35336EFCE71F}">
  <dimension ref="A1:N651"/>
  <sheetViews>
    <sheetView showGridLines="0" zoomScale="67" workbookViewId="0">
      <pane ySplit="1" topLeftCell="A2" activePane="bottomLeft" state="frozen"/>
      <selection pane="bottomLeft" activeCell="D15" sqref="D15"/>
    </sheetView>
  </sheetViews>
  <sheetFormatPr defaultRowHeight="14.4" x14ac:dyDescent="0.3"/>
  <cols>
    <col min="1" max="1" width="15.33203125" style="3" customWidth="1"/>
    <col min="2" max="2" width="16.21875" style="9" customWidth="1"/>
    <col min="3" max="3" width="27.109375" style="3" customWidth="1"/>
    <col min="4" max="4" width="19.44140625" style="3" customWidth="1"/>
    <col min="5" max="5" width="11.109375" style="3" customWidth="1"/>
    <col min="6" max="6" width="17.88671875" style="3" customWidth="1"/>
    <col min="7" max="7" width="15.44140625" style="3" customWidth="1"/>
    <col min="8" max="8" width="15.77734375" style="3" customWidth="1"/>
    <col min="9" max="9" width="17.109375" style="3" customWidth="1"/>
    <col min="10" max="10" width="11.77734375" style="3" customWidth="1"/>
    <col min="11" max="11" width="9.6640625" style="3" customWidth="1"/>
  </cols>
  <sheetData>
    <row r="1" spans="1:14" x14ac:dyDescent="0.3">
      <c r="A1" s="6" t="s">
        <v>0</v>
      </c>
      <c r="B1" s="7" t="s">
        <v>1</v>
      </c>
      <c r="C1" s="1" t="s">
        <v>2</v>
      </c>
      <c r="D1" s="1" t="s">
        <v>3</v>
      </c>
      <c r="E1" s="1" t="s">
        <v>4</v>
      </c>
      <c r="F1" s="1" t="s">
        <v>5</v>
      </c>
      <c r="G1" s="1" t="s">
        <v>6</v>
      </c>
      <c r="H1" s="1" t="s">
        <v>7</v>
      </c>
      <c r="I1" s="1" t="s">
        <v>8</v>
      </c>
      <c r="J1" s="1" t="s">
        <v>694</v>
      </c>
      <c r="K1" s="1" t="s">
        <v>695</v>
      </c>
    </row>
    <row r="2" spans="1:14" x14ac:dyDescent="0.3">
      <c r="A2" s="4" t="s">
        <v>9</v>
      </c>
      <c r="B2" s="8">
        <v>45292</v>
      </c>
      <c r="C2" s="4" t="s">
        <v>10</v>
      </c>
      <c r="D2" s="4" t="s">
        <v>11</v>
      </c>
      <c r="E2" s="4" t="s">
        <v>12</v>
      </c>
      <c r="F2" s="4" t="s">
        <v>13</v>
      </c>
      <c r="G2" s="4">
        <v>4</v>
      </c>
      <c r="H2" s="2">
        <v>299</v>
      </c>
      <c r="I2" s="2">
        <v>1196</v>
      </c>
      <c r="J2" s="2" t="str">
        <f t="shared" ref="J2:J65" si="0">TEXT(B2,"mmm")</f>
        <v>Jan</v>
      </c>
      <c r="K2" s="4">
        <f t="shared" ref="K2:K65" si="1">YEAR(B2)</f>
        <v>2024</v>
      </c>
    </row>
    <row r="3" spans="1:14" x14ac:dyDescent="0.3">
      <c r="A3" s="4" t="s">
        <v>14</v>
      </c>
      <c r="B3" s="8">
        <v>45292</v>
      </c>
      <c r="C3" s="4" t="s">
        <v>15</v>
      </c>
      <c r="D3" s="4" t="s">
        <v>16</v>
      </c>
      <c r="E3" s="4" t="s">
        <v>17</v>
      </c>
      <c r="F3" s="4" t="s">
        <v>18</v>
      </c>
      <c r="G3" s="4">
        <v>2</v>
      </c>
      <c r="H3" s="2">
        <v>1699.15</v>
      </c>
      <c r="I3" s="2">
        <v>3398.3</v>
      </c>
      <c r="J3" s="2" t="str">
        <f t="shared" si="0"/>
        <v>Jan</v>
      </c>
      <c r="K3" s="4">
        <f t="shared" si="1"/>
        <v>2024</v>
      </c>
    </row>
    <row r="4" spans="1:14" x14ac:dyDescent="0.3">
      <c r="A4" s="4" t="s">
        <v>19</v>
      </c>
      <c r="B4" s="8">
        <v>45293</v>
      </c>
      <c r="C4" s="4" t="s">
        <v>20</v>
      </c>
      <c r="D4" s="4" t="s">
        <v>11</v>
      </c>
      <c r="E4" s="4" t="s">
        <v>12</v>
      </c>
      <c r="F4" s="4" t="s">
        <v>21</v>
      </c>
      <c r="G4" s="4">
        <v>8</v>
      </c>
      <c r="H4" s="2">
        <v>399</v>
      </c>
      <c r="I4" s="2">
        <v>3192</v>
      </c>
      <c r="J4" s="2" t="str">
        <f t="shared" si="0"/>
        <v>Jan</v>
      </c>
      <c r="K4" s="4">
        <f t="shared" si="1"/>
        <v>2024</v>
      </c>
    </row>
    <row r="5" spans="1:14" x14ac:dyDescent="0.3">
      <c r="A5" s="4" t="s">
        <v>22</v>
      </c>
      <c r="B5" s="8">
        <v>45293</v>
      </c>
      <c r="C5" s="4" t="s">
        <v>23</v>
      </c>
      <c r="D5" s="4" t="s">
        <v>16</v>
      </c>
      <c r="E5" s="4" t="s">
        <v>24</v>
      </c>
      <c r="F5" s="4" t="s">
        <v>25</v>
      </c>
      <c r="G5" s="4">
        <v>6</v>
      </c>
      <c r="H5" s="2">
        <v>2499</v>
      </c>
      <c r="I5" s="2">
        <v>14994</v>
      </c>
      <c r="J5" s="2" t="str">
        <f t="shared" si="0"/>
        <v>Jan</v>
      </c>
      <c r="K5" s="4">
        <f t="shared" si="1"/>
        <v>2024</v>
      </c>
    </row>
    <row r="6" spans="1:14" x14ac:dyDescent="0.3">
      <c r="A6" s="4" t="s">
        <v>26</v>
      </c>
      <c r="B6" s="8">
        <v>45294</v>
      </c>
      <c r="C6" s="4" t="s">
        <v>27</v>
      </c>
      <c r="D6" s="4" t="s">
        <v>28</v>
      </c>
      <c r="E6" s="4" t="s">
        <v>12</v>
      </c>
      <c r="F6" s="4" t="s">
        <v>13</v>
      </c>
      <c r="G6" s="4">
        <v>6</v>
      </c>
      <c r="H6" s="2">
        <v>3499</v>
      </c>
      <c r="I6" s="2">
        <v>20994</v>
      </c>
      <c r="J6" s="2" t="str">
        <f t="shared" si="0"/>
        <v>Jan</v>
      </c>
      <c r="K6" s="4">
        <f t="shared" si="1"/>
        <v>2024</v>
      </c>
    </row>
    <row r="7" spans="1:14" x14ac:dyDescent="0.3">
      <c r="A7" s="4" t="s">
        <v>29</v>
      </c>
      <c r="B7" s="8">
        <v>45295</v>
      </c>
      <c r="C7" s="4" t="s">
        <v>30</v>
      </c>
      <c r="D7" s="4" t="s">
        <v>31</v>
      </c>
      <c r="E7" s="4" t="s">
        <v>17</v>
      </c>
      <c r="F7" s="4" t="s">
        <v>32</v>
      </c>
      <c r="G7" s="4">
        <v>4</v>
      </c>
      <c r="H7" s="2">
        <v>3824.15</v>
      </c>
      <c r="I7" s="2">
        <v>15296.6</v>
      </c>
      <c r="J7" s="2" t="str">
        <f t="shared" si="0"/>
        <v>Jan</v>
      </c>
      <c r="K7" s="4">
        <f t="shared" si="1"/>
        <v>2024</v>
      </c>
    </row>
    <row r="8" spans="1:14" x14ac:dyDescent="0.3">
      <c r="A8" s="4" t="s">
        <v>33</v>
      </c>
      <c r="B8" s="8">
        <v>45296</v>
      </c>
      <c r="C8" s="4" t="s">
        <v>34</v>
      </c>
      <c r="D8" s="4" t="s">
        <v>28</v>
      </c>
      <c r="E8" s="4" t="s">
        <v>35</v>
      </c>
      <c r="F8" s="4" t="s">
        <v>18</v>
      </c>
      <c r="G8" s="4">
        <v>4</v>
      </c>
      <c r="H8" s="2">
        <v>679.15</v>
      </c>
      <c r="I8" s="2">
        <v>2716.6</v>
      </c>
      <c r="J8" s="2" t="str">
        <f t="shared" si="0"/>
        <v>Jan</v>
      </c>
      <c r="K8" s="4">
        <f t="shared" si="1"/>
        <v>2024</v>
      </c>
    </row>
    <row r="9" spans="1:14" x14ac:dyDescent="0.3">
      <c r="A9" s="4" t="s">
        <v>36</v>
      </c>
      <c r="B9" s="8">
        <v>45297</v>
      </c>
      <c r="C9" s="4" t="s">
        <v>37</v>
      </c>
      <c r="D9" s="4" t="s">
        <v>16</v>
      </c>
      <c r="E9" s="4" t="s">
        <v>17</v>
      </c>
      <c r="F9" s="4" t="s">
        <v>18</v>
      </c>
      <c r="G9" s="4">
        <v>4</v>
      </c>
      <c r="H9" s="2">
        <v>899</v>
      </c>
      <c r="I9" s="2">
        <v>3596</v>
      </c>
      <c r="J9" s="2" t="str">
        <f t="shared" si="0"/>
        <v>Jan</v>
      </c>
      <c r="K9" s="4">
        <f t="shared" si="1"/>
        <v>2024</v>
      </c>
    </row>
    <row r="10" spans="1:14" x14ac:dyDescent="0.3">
      <c r="A10" s="4" t="s">
        <v>38</v>
      </c>
      <c r="B10" s="8">
        <v>45298</v>
      </c>
      <c r="C10" s="4" t="s">
        <v>27</v>
      </c>
      <c r="D10" s="4" t="s">
        <v>28</v>
      </c>
      <c r="E10" s="4" t="s">
        <v>24</v>
      </c>
      <c r="F10" s="4" t="s">
        <v>32</v>
      </c>
      <c r="G10" s="4">
        <v>7</v>
      </c>
      <c r="H10" s="2">
        <v>3499</v>
      </c>
      <c r="I10" s="2">
        <v>24493</v>
      </c>
      <c r="J10" s="2" t="str">
        <f t="shared" si="0"/>
        <v>Jan</v>
      </c>
      <c r="K10" s="4">
        <f t="shared" si="1"/>
        <v>2024</v>
      </c>
    </row>
    <row r="11" spans="1:14" x14ac:dyDescent="0.3">
      <c r="A11" s="4" t="s">
        <v>39</v>
      </c>
      <c r="B11" s="8">
        <v>45298</v>
      </c>
      <c r="C11" s="4" t="s">
        <v>40</v>
      </c>
      <c r="D11" s="4" t="s">
        <v>41</v>
      </c>
      <c r="E11" s="4" t="s">
        <v>17</v>
      </c>
      <c r="F11" s="4" t="s">
        <v>13</v>
      </c>
      <c r="G11" s="4">
        <v>3</v>
      </c>
      <c r="H11" s="2">
        <v>2199</v>
      </c>
      <c r="I11" s="2">
        <v>6597</v>
      </c>
      <c r="J11" s="2" t="str">
        <f t="shared" si="0"/>
        <v>Jan</v>
      </c>
      <c r="K11" s="4">
        <f t="shared" si="1"/>
        <v>2024</v>
      </c>
    </row>
    <row r="12" spans="1:14" x14ac:dyDescent="0.3">
      <c r="A12" s="4" t="s">
        <v>42</v>
      </c>
      <c r="B12" s="8">
        <v>45299</v>
      </c>
      <c r="C12" s="4" t="s">
        <v>37</v>
      </c>
      <c r="D12" s="4" t="s">
        <v>16</v>
      </c>
      <c r="E12" s="4" t="s">
        <v>12</v>
      </c>
      <c r="F12" s="4" t="s">
        <v>25</v>
      </c>
      <c r="G12" s="4">
        <v>5</v>
      </c>
      <c r="H12" s="2">
        <v>764.15</v>
      </c>
      <c r="I12" s="2">
        <v>3820.75</v>
      </c>
      <c r="J12" s="2" t="str">
        <f t="shared" si="0"/>
        <v>Jan</v>
      </c>
      <c r="K12" s="4">
        <f t="shared" si="1"/>
        <v>2024</v>
      </c>
    </row>
    <row r="13" spans="1:14" x14ac:dyDescent="0.3">
      <c r="A13" s="4" t="s">
        <v>43</v>
      </c>
      <c r="B13" s="8">
        <v>45299</v>
      </c>
      <c r="C13" s="4" t="s">
        <v>37</v>
      </c>
      <c r="D13" s="4" t="s">
        <v>16</v>
      </c>
      <c r="E13" s="4" t="s">
        <v>35</v>
      </c>
      <c r="F13" s="4" t="s">
        <v>13</v>
      </c>
      <c r="G13" s="4">
        <v>5</v>
      </c>
      <c r="H13" s="2">
        <v>899</v>
      </c>
      <c r="I13" s="2">
        <v>4495</v>
      </c>
      <c r="J13" s="2" t="str">
        <f t="shared" si="0"/>
        <v>Jan</v>
      </c>
      <c r="K13" s="4">
        <f>YEAR(B13)</f>
        <v>2024</v>
      </c>
    </row>
    <row r="14" spans="1:14" x14ac:dyDescent="0.3">
      <c r="A14" s="4" t="s">
        <v>44</v>
      </c>
      <c r="B14" s="8">
        <v>45299</v>
      </c>
      <c r="C14" s="4" t="s">
        <v>45</v>
      </c>
      <c r="D14" s="4" t="s">
        <v>16</v>
      </c>
      <c r="E14" s="4" t="s">
        <v>24</v>
      </c>
      <c r="F14" s="4" t="s">
        <v>18</v>
      </c>
      <c r="G14" s="4">
        <v>3</v>
      </c>
      <c r="H14" s="2">
        <v>5499</v>
      </c>
      <c r="I14" s="2">
        <v>16497</v>
      </c>
      <c r="J14" s="2" t="str">
        <f t="shared" si="0"/>
        <v>Jan</v>
      </c>
      <c r="K14" s="4">
        <f t="shared" si="1"/>
        <v>2024</v>
      </c>
    </row>
    <row r="15" spans="1:14" x14ac:dyDescent="0.3">
      <c r="A15" s="4" t="s">
        <v>46</v>
      </c>
      <c r="B15" s="8">
        <v>45299</v>
      </c>
      <c r="C15" s="4" t="s">
        <v>45</v>
      </c>
      <c r="D15" s="4" t="s">
        <v>16</v>
      </c>
      <c r="E15" s="4" t="s">
        <v>17</v>
      </c>
      <c r="F15" s="4" t="s">
        <v>47</v>
      </c>
      <c r="G15" s="4">
        <v>3</v>
      </c>
      <c r="H15" s="2">
        <v>5499</v>
      </c>
      <c r="I15" s="2">
        <v>16497</v>
      </c>
      <c r="J15" s="2" t="str">
        <f t="shared" si="0"/>
        <v>Jan</v>
      </c>
      <c r="K15" s="4">
        <f t="shared" si="1"/>
        <v>2024</v>
      </c>
      <c r="N15" s="5">
        <f>AVERAGE(I2:I651)</f>
        <v>8571.7995384615406</v>
      </c>
    </row>
    <row r="16" spans="1:14" x14ac:dyDescent="0.3">
      <c r="A16" s="4" t="s">
        <v>48</v>
      </c>
      <c r="B16" s="8">
        <v>45299</v>
      </c>
      <c r="C16" s="4" t="s">
        <v>27</v>
      </c>
      <c r="D16" s="4" t="s">
        <v>28</v>
      </c>
      <c r="E16" s="4" t="s">
        <v>24</v>
      </c>
      <c r="F16" s="4" t="s">
        <v>32</v>
      </c>
      <c r="G16" s="4">
        <v>5</v>
      </c>
      <c r="H16" s="2">
        <v>3499</v>
      </c>
      <c r="I16" s="2">
        <v>17495</v>
      </c>
      <c r="J16" s="2" t="str">
        <f t="shared" si="0"/>
        <v>Jan</v>
      </c>
      <c r="K16" s="4">
        <f t="shared" si="1"/>
        <v>2024</v>
      </c>
    </row>
    <row r="17" spans="1:13" x14ac:dyDescent="0.3">
      <c r="A17" s="4" t="s">
        <v>49</v>
      </c>
      <c r="B17" s="8">
        <v>45300</v>
      </c>
      <c r="C17" s="4" t="s">
        <v>50</v>
      </c>
      <c r="D17" s="4" t="s">
        <v>41</v>
      </c>
      <c r="E17" s="4" t="s">
        <v>17</v>
      </c>
      <c r="F17" s="4" t="s">
        <v>18</v>
      </c>
      <c r="G17" s="4">
        <v>6</v>
      </c>
      <c r="H17" s="2">
        <v>999</v>
      </c>
      <c r="I17" s="2">
        <v>5994</v>
      </c>
      <c r="J17" s="2" t="str">
        <f t="shared" si="0"/>
        <v>Jan</v>
      </c>
      <c r="K17" s="4">
        <f t="shared" si="1"/>
        <v>2024</v>
      </c>
    </row>
    <row r="18" spans="1:13" x14ac:dyDescent="0.3">
      <c r="A18" s="4" t="s">
        <v>51</v>
      </c>
      <c r="B18" s="8">
        <v>45300</v>
      </c>
      <c r="C18" s="4" t="s">
        <v>52</v>
      </c>
      <c r="D18" s="4" t="s">
        <v>31</v>
      </c>
      <c r="E18" s="4" t="s">
        <v>12</v>
      </c>
      <c r="F18" s="4" t="s">
        <v>13</v>
      </c>
      <c r="G18" s="4">
        <v>4</v>
      </c>
      <c r="H18" s="2">
        <v>3799.05</v>
      </c>
      <c r="I18" s="2">
        <v>15196.2</v>
      </c>
      <c r="J18" s="2" t="str">
        <f t="shared" si="0"/>
        <v>Jan</v>
      </c>
      <c r="K18" s="4">
        <f t="shared" si="1"/>
        <v>2024</v>
      </c>
    </row>
    <row r="19" spans="1:13" x14ac:dyDescent="0.3">
      <c r="A19" s="4" t="s">
        <v>53</v>
      </c>
      <c r="B19" s="8">
        <v>45301</v>
      </c>
      <c r="C19" s="4" t="s">
        <v>20</v>
      </c>
      <c r="D19" s="4" t="s">
        <v>11</v>
      </c>
      <c r="E19" s="4" t="s">
        <v>12</v>
      </c>
      <c r="F19" s="4" t="s">
        <v>32</v>
      </c>
      <c r="G19" s="4">
        <v>7</v>
      </c>
      <c r="H19" s="2">
        <v>379.05</v>
      </c>
      <c r="I19" s="2">
        <v>2653.35</v>
      </c>
      <c r="J19" s="2" t="str">
        <f t="shared" si="0"/>
        <v>Jan</v>
      </c>
      <c r="K19" s="4">
        <f t="shared" si="1"/>
        <v>2024</v>
      </c>
      <c r="M19" s="5"/>
    </row>
    <row r="20" spans="1:13" x14ac:dyDescent="0.3">
      <c r="A20" s="4" t="s">
        <v>54</v>
      </c>
      <c r="B20" s="8">
        <v>45302</v>
      </c>
      <c r="C20" s="4" t="s">
        <v>27</v>
      </c>
      <c r="D20" s="4" t="s">
        <v>28</v>
      </c>
      <c r="E20" s="4" t="s">
        <v>24</v>
      </c>
      <c r="F20" s="4" t="s">
        <v>21</v>
      </c>
      <c r="G20" s="4">
        <v>6</v>
      </c>
      <c r="H20" s="2">
        <v>3499</v>
      </c>
      <c r="I20" s="2">
        <v>20994</v>
      </c>
      <c r="J20" s="2" t="str">
        <f t="shared" si="0"/>
        <v>Jan</v>
      </c>
      <c r="K20" s="4">
        <f t="shared" si="1"/>
        <v>2024</v>
      </c>
    </row>
    <row r="21" spans="1:13" x14ac:dyDescent="0.3">
      <c r="A21" s="4" t="s">
        <v>55</v>
      </c>
      <c r="B21" s="8">
        <v>45303</v>
      </c>
      <c r="C21" s="4" t="s">
        <v>34</v>
      </c>
      <c r="D21" s="4" t="s">
        <v>28</v>
      </c>
      <c r="E21" s="4" t="s">
        <v>35</v>
      </c>
      <c r="F21" s="4" t="s">
        <v>18</v>
      </c>
      <c r="G21" s="4">
        <v>6</v>
      </c>
      <c r="H21" s="2">
        <v>799</v>
      </c>
      <c r="I21" s="2">
        <v>4794</v>
      </c>
      <c r="J21" s="2" t="str">
        <f t="shared" si="0"/>
        <v>Jan</v>
      </c>
      <c r="K21" s="4">
        <f t="shared" si="1"/>
        <v>2024</v>
      </c>
    </row>
    <row r="22" spans="1:13" x14ac:dyDescent="0.3">
      <c r="A22" s="4" t="s">
        <v>56</v>
      </c>
      <c r="B22" s="8">
        <v>45303</v>
      </c>
      <c r="C22" s="4" t="s">
        <v>57</v>
      </c>
      <c r="D22" s="4" t="s">
        <v>31</v>
      </c>
      <c r="E22" s="4" t="s">
        <v>24</v>
      </c>
      <c r="F22" s="4" t="s">
        <v>32</v>
      </c>
      <c r="G22" s="4">
        <v>5</v>
      </c>
      <c r="H22" s="2">
        <v>1299</v>
      </c>
      <c r="I22" s="2">
        <v>6495</v>
      </c>
      <c r="J22" s="2" t="str">
        <f t="shared" si="0"/>
        <v>Jan</v>
      </c>
      <c r="K22" s="4">
        <f t="shared" si="1"/>
        <v>2024</v>
      </c>
    </row>
    <row r="23" spans="1:13" x14ac:dyDescent="0.3">
      <c r="A23" s="4" t="s">
        <v>58</v>
      </c>
      <c r="B23" s="8">
        <v>45303</v>
      </c>
      <c r="C23" s="4" t="s">
        <v>59</v>
      </c>
      <c r="D23" s="4" t="s">
        <v>41</v>
      </c>
      <c r="E23" s="4" t="s">
        <v>24</v>
      </c>
      <c r="F23" s="4" t="s">
        <v>32</v>
      </c>
      <c r="G23" s="4">
        <v>2</v>
      </c>
      <c r="H23" s="2">
        <v>1274.1500000000001</v>
      </c>
      <c r="I23" s="2">
        <v>2548.3000000000002</v>
      </c>
      <c r="J23" s="2" t="str">
        <f t="shared" si="0"/>
        <v>Jan</v>
      </c>
      <c r="K23" s="4">
        <f t="shared" si="1"/>
        <v>2024</v>
      </c>
    </row>
    <row r="24" spans="1:13" x14ac:dyDescent="0.3">
      <c r="A24" s="4" t="s">
        <v>60</v>
      </c>
      <c r="B24" s="8">
        <v>45303</v>
      </c>
      <c r="C24" s="4" t="s">
        <v>34</v>
      </c>
      <c r="D24" s="4" t="s">
        <v>28</v>
      </c>
      <c r="E24" s="4" t="s">
        <v>12</v>
      </c>
      <c r="F24" s="4" t="s">
        <v>25</v>
      </c>
      <c r="G24" s="4">
        <v>3</v>
      </c>
      <c r="H24" s="2">
        <v>799</v>
      </c>
      <c r="I24" s="2">
        <v>2397</v>
      </c>
      <c r="J24" s="2" t="str">
        <f t="shared" si="0"/>
        <v>Jan</v>
      </c>
      <c r="K24" s="4">
        <f t="shared" si="1"/>
        <v>2024</v>
      </c>
    </row>
    <row r="25" spans="1:13" x14ac:dyDescent="0.3">
      <c r="A25" s="4" t="s">
        <v>61</v>
      </c>
      <c r="B25" s="8">
        <v>45303</v>
      </c>
      <c r="C25" s="4" t="s">
        <v>50</v>
      </c>
      <c r="D25" s="4" t="s">
        <v>41</v>
      </c>
      <c r="E25" s="4" t="s">
        <v>12</v>
      </c>
      <c r="F25" s="4" t="s">
        <v>47</v>
      </c>
      <c r="G25" s="4">
        <v>2</v>
      </c>
      <c r="H25" s="2">
        <v>849.15</v>
      </c>
      <c r="I25" s="2">
        <v>1698.3</v>
      </c>
      <c r="J25" s="2" t="str">
        <f t="shared" si="0"/>
        <v>Jan</v>
      </c>
      <c r="K25" s="4">
        <f t="shared" si="1"/>
        <v>2024</v>
      </c>
    </row>
    <row r="26" spans="1:13" x14ac:dyDescent="0.3">
      <c r="A26" s="4" t="s">
        <v>62</v>
      </c>
      <c r="B26" s="8">
        <v>45304</v>
      </c>
      <c r="C26" s="4" t="s">
        <v>34</v>
      </c>
      <c r="D26" s="4" t="s">
        <v>28</v>
      </c>
      <c r="E26" s="4" t="s">
        <v>24</v>
      </c>
      <c r="F26" s="4" t="s">
        <v>47</v>
      </c>
      <c r="G26" s="4">
        <v>4</v>
      </c>
      <c r="H26" s="2">
        <v>759.05</v>
      </c>
      <c r="I26" s="2">
        <v>3036.2</v>
      </c>
      <c r="J26" s="2" t="str">
        <f t="shared" si="0"/>
        <v>Jan</v>
      </c>
      <c r="K26" s="4">
        <f t="shared" si="1"/>
        <v>2024</v>
      </c>
    </row>
    <row r="27" spans="1:13" x14ac:dyDescent="0.3">
      <c r="A27" s="4" t="s">
        <v>63</v>
      </c>
      <c r="B27" s="8">
        <v>45304</v>
      </c>
      <c r="C27" s="4" t="s">
        <v>64</v>
      </c>
      <c r="D27" s="4" t="s">
        <v>41</v>
      </c>
      <c r="E27" s="4" t="s">
        <v>17</v>
      </c>
      <c r="F27" s="4" t="s">
        <v>47</v>
      </c>
      <c r="G27" s="4">
        <v>1</v>
      </c>
      <c r="H27" s="2">
        <v>1709.05</v>
      </c>
      <c r="I27" s="2">
        <v>1709.05</v>
      </c>
      <c r="J27" s="2" t="str">
        <f t="shared" si="0"/>
        <v>Jan</v>
      </c>
      <c r="K27" s="4">
        <f t="shared" si="1"/>
        <v>2024</v>
      </c>
    </row>
    <row r="28" spans="1:13" x14ac:dyDescent="0.3">
      <c r="A28" s="4" t="s">
        <v>65</v>
      </c>
      <c r="B28" s="8">
        <v>45304</v>
      </c>
      <c r="C28" s="4" t="s">
        <v>20</v>
      </c>
      <c r="D28" s="4" t="s">
        <v>11</v>
      </c>
      <c r="E28" s="4" t="s">
        <v>12</v>
      </c>
      <c r="F28" s="4" t="s">
        <v>25</v>
      </c>
      <c r="G28" s="4">
        <v>8</v>
      </c>
      <c r="H28" s="2">
        <v>399</v>
      </c>
      <c r="I28" s="2">
        <v>3192</v>
      </c>
      <c r="J28" s="2" t="str">
        <f t="shared" si="0"/>
        <v>Jan</v>
      </c>
      <c r="K28" s="4">
        <f t="shared" si="1"/>
        <v>2024</v>
      </c>
    </row>
    <row r="29" spans="1:13" x14ac:dyDescent="0.3">
      <c r="A29" s="4" t="s">
        <v>66</v>
      </c>
      <c r="B29" s="8">
        <v>45305</v>
      </c>
      <c r="C29" s="4" t="s">
        <v>67</v>
      </c>
      <c r="D29" s="4" t="s">
        <v>11</v>
      </c>
      <c r="E29" s="4" t="s">
        <v>35</v>
      </c>
      <c r="F29" s="4" t="s">
        <v>32</v>
      </c>
      <c r="G29" s="4">
        <v>3</v>
      </c>
      <c r="H29" s="2">
        <v>349</v>
      </c>
      <c r="I29" s="2">
        <v>1047</v>
      </c>
      <c r="J29" s="2" t="str">
        <f t="shared" si="0"/>
        <v>Jan</v>
      </c>
      <c r="K29" s="4">
        <f t="shared" si="1"/>
        <v>2024</v>
      </c>
    </row>
    <row r="30" spans="1:13" x14ac:dyDescent="0.3">
      <c r="A30" s="4" t="s">
        <v>68</v>
      </c>
      <c r="B30" s="8">
        <v>45305</v>
      </c>
      <c r="C30" s="4" t="s">
        <v>57</v>
      </c>
      <c r="D30" s="4" t="s">
        <v>31</v>
      </c>
      <c r="E30" s="4" t="s">
        <v>12</v>
      </c>
      <c r="F30" s="4" t="s">
        <v>47</v>
      </c>
      <c r="G30" s="4">
        <v>6</v>
      </c>
      <c r="H30" s="2">
        <v>1299</v>
      </c>
      <c r="I30" s="2">
        <v>7794</v>
      </c>
      <c r="J30" s="2" t="str">
        <f t="shared" si="0"/>
        <v>Jan</v>
      </c>
      <c r="K30" s="4">
        <f t="shared" si="1"/>
        <v>2024</v>
      </c>
    </row>
    <row r="31" spans="1:13" x14ac:dyDescent="0.3">
      <c r="A31" s="4" t="s">
        <v>69</v>
      </c>
      <c r="B31" s="8">
        <v>45306</v>
      </c>
      <c r="C31" s="4" t="s">
        <v>70</v>
      </c>
      <c r="D31" s="4" t="s">
        <v>28</v>
      </c>
      <c r="E31" s="4" t="s">
        <v>35</v>
      </c>
      <c r="F31" s="4" t="s">
        <v>25</v>
      </c>
      <c r="G31" s="4">
        <v>7</v>
      </c>
      <c r="H31" s="2">
        <v>1139.05</v>
      </c>
      <c r="I31" s="2">
        <v>7973.35</v>
      </c>
      <c r="J31" s="2" t="str">
        <f t="shared" si="0"/>
        <v>Jan</v>
      </c>
      <c r="K31" s="4">
        <f t="shared" si="1"/>
        <v>2024</v>
      </c>
    </row>
    <row r="32" spans="1:13" x14ac:dyDescent="0.3">
      <c r="A32" s="4" t="s">
        <v>71</v>
      </c>
      <c r="B32" s="8">
        <v>45306</v>
      </c>
      <c r="C32" s="4" t="s">
        <v>72</v>
      </c>
      <c r="D32" s="4" t="s">
        <v>16</v>
      </c>
      <c r="E32" s="4" t="s">
        <v>24</v>
      </c>
      <c r="F32" s="4" t="s">
        <v>18</v>
      </c>
      <c r="G32" s="4">
        <v>1</v>
      </c>
      <c r="H32" s="2">
        <v>1799</v>
      </c>
      <c r="I32" s="2">
        <v>1799</v>
      </c>
      <c r="J32" s="2" t="str">
        <f t="shared" si="0"/>
        <v>Jan</v>
      </c>
      <c r="K32" s="4">
        <f t="shared" si="1"/>
        <v>2024</v>
      </c>
    </row>
    <row r="33" spans="1:11" x14ac:dyDescent="0.3">
      <c r="A33" s="4" t="s">
        <v>73</v>
      </c>
      <c r="B33" s="8">
        <v>45306</v>
      </c>
      <c r="C33" s="4" t="s">
        <v>27</v>
      </c>
      <c r="D33" s="4" t="s">
        <v>28</v>
      </c>
      <c r="E33" s="4" t="s">
        <v>24</v>
      </c>
      <c r="F33" s="4" t="s">
        <v>21</v>
      </c>
      <c r="G33" s="4">
        <v>7</v>
      </c>
      <c r="H33" s="2">
        <v>3499</v>
      </c>
      <c r="I33" s="2">
        <v>24493</v>
      </c>
      <c r="J33" s="2" t="str">
        <f t="shared" si="0"/>
        <v>Jan</v>
      </c>
      <c r="K33" s="4">
        <f t="shared" si="1"/>
        <v>2024</v>
      </c>
    </row>
    <row r="34" spans="1:11" x14ac:dyDescent="0.3">
      <c r="A34" s="4" t="s">
        <v>74</v>
      </c>
      <c r="B34" s="8">
        <v>45306</v>
      </c>
      <c r="C34" s="4" t="s">
        <v>37</v>
      </c>
      <c r="D34" s="4" t="s">
        <v>16</v>
      </c>
      <c r="E34" s="4" t="s">
        <v>24</v>
      </c>
      <c r="F34" s="4" t="s">
        <v>18</v>
      </c>
      <c r="G34" s="4">
        <v>1</v>
      </c>
      <c r="H34" s="2">
        <v>899</v>
      </c>
      <c r="I34" s="2">
        <v>899</v>
      </c>
      <c r="J34" s="2" t="str">
        <f t="shared" si="0"/>
        <v>Jan</v>
      </c>
      <c r="K34" s="4">
        <f t="shared" si="1"/>
        <v>2024</v>
      </c>
    </row>
    <row r="35" spans="1:11" x14ac:dyDescent="0.3">
      <c r="A35" s="4" t="s">
        <v>75</v>
      </c>
      <c r="B35" s="8">
        <v>45307</v>
      </c>
      <c r="C35" s="4" t="s">
        <v>30</v>
      </c>
      <c r="D35" s="4" t="s">
        <v>31</v>
      </c>
      <c r="E35" s="4" t="s">
        <v>35</v>
      </c>
      <c r="F35" s="4" t="s">
        <v>13</v>
      </c>
      <c r="G35" s="4">
        <v>7</v>
      </c>
      <c r="H35" s="2">
        <v>4499</v>
      </c>
      <c r="I35" s="2">
        <v>31493</v>
      </c>
      <c r="J35" s="2" t="str">
        <f t="shared" si="0"/>
        <v>Jan</v>
      </c>
      <c r="K35" s="4">
        <f t="shared" si="1"/>
        <v>2024</v>
      </c>
    </row>
    <row r="36" spans="1:11" x14ac:dyDescent="0.3">
      <c r="A36" s="4" t="s">
        <v>76</v>
      </c>
      <c r="B36" s="8">
        <v>45308</v>
      </c>
      <c r="C36" s="4" t="s">
        <v>23</v>
      </c>
      <c r="D36" s="4" t="s">
        <v>16</v>
      </c>
      <c r="E36" s="4" t="s">
        <v>12</v>
      </c>
      <c r="F36" s="4" t="s">
        <v>13</v>
      </c>
      <c r="G36" s="4">
        <v>2</v>
      </c>
      <c r="H36" s="2">
        <v>2499</v>
      </c>
      <c r="I36" s="2">
        <v>4998</v>
      </c>
      <c r="J36" s="2" t="str">
        <f t="shared" si="0"/>
        <v>Jan</v>
      </c>
      <c r="K36" s="4">
        <f t="shared" si="1"/>
        <v>2024</v>
      </c>
    </row>
    <row r="37" spans="1:11" x14ac:dyDescent="0.3">
      <c r="A37" s="4" t="s">
        <v>77</v>
      </c>
      <c r="B37" s="8">
        <v>45311</v>
      </c>
      <c r="C37" s="4" t="s">
        <v>40</v>
      </c>
      <c r="D37" s="4" t="s">
        <v>41</v>
      </c>
      <c r="E37" s="4" t="s">
        <v>35</v>
      </c>
      <c r="F37" s="4" t="s">
        <v>21</v>
      </c>
      <c r="G37" s="4">
        <v>3</v>
      </c>
      <c r="H37" s="2">
        <v>2199</v>
      </c>
      <c r="I37" s="2">
        <v>6597</v>
      </c>
      <c r="J37" s="2" t="str">
        <f t="shared" si="0"/>
        <v>Jan</v>
      </c>
      <c r="K37" s="4">
        <f t="shared" si="1"/>
        <v>2024</v>
      </c>
    </row>
    <row r="38" spans="1:11" x14ac:dyDescent="0.3">
      <c r="A38" s="4" t="s">
        <v>78</v>
      </c>
      <c r="B38" s="8">
        <v>45311</v>
      </c>
      <c r="C38" s="4" t="s">
        <v>34</v>
      </c>
      <c r="D38" s="4" t="s">
        <v>28</v>
      </c>
      <c r="E38" s="4" t="s">
        <v>12</v>
      </c>
      <c r="F38" s="4" t="s">
        <v>18</v>
      </c>
      <c r="G38" s="4">
        <v>2</v>
      </c>
      <c r="H38" s="2">
        <v>799</v>
      </c>
      <c r="I38" s="2">
        <v>1598</v>
      </c>
      <c r="J38" s="2" t="str">
        <f t="shared" si="0"/>
        <v>Jan</v>
      </c>
      <c r="K38" s="4">
        <f t="shared" si="1"/>
        <v>2024</v>
      </c>
    </row>
    <row r="39" spans="1:11" x14ac:dyDescent="0.3">
      <c r="A39" s="4" t="s">
        <v>79</v>
      </c>
      <c r="B39" s="8">
        <v>45311</v>
      </c>
      <c r="C39" s="4" t="s">
        <v>37</v>
      </c>
      <c r="D39" s="4" t="s">
        <v>16</v>
      </c>
      <c r="E39" s="4" t="s">
        <v>12</v>
      </c>
      <c r="F39" s="4" t="s">
        <v>21</v>
      </c>
      <c r="G39" s="4">
        <v>1</v>
      </c>
      <c r="H39" s="2">
        <v>899</v>
      </c>
      <c r="I39" s="2">
        <v>899</v>
      </c>
      <c r="J39" s="2" t="str">
        <f t="shared" si="0"/>
        <v>Jan</v>
      </c>
      <c r="K39" s="4">
        <f t="shared" si="1"/>
        <v>2024</v>
      </c>
    </row>
    <row r="40" spans="1:11" x14ac:dyDescent="0.3">
      <c r="A40" s="4" t="s">
        <v>80</v>
      </c>
      <c r="B40" s="8">
        <v>45311</v>
      </c>
      <c r="C40" s="4" t="s">
        <v>34</v>
      </c>
      <c r="D40" s="4" t="s">
        <v>28</v>
      </c>
      <c r="E40" s="4" t="s">
        <v>35</v>
      </c>
      <c r="F40" s="4" t="s">
        <v>25</v>
      </c>
      <c r="G40" s="4">
        <v>5</v>
      </c>
      <c r="H40" s="2">
        <v>799</v>
      </c>
      <c r="I40" s="2">
        <v>3995</v>
      </c>
      <c r="J40" s="2" t="str">
        <f t="shared" si="0"/>
        <v>Jan</v>
      </c>
      <c r="K40" s="4">
        <f t="shared" si="1"/>
        <v>2024</v>
      </c>
    </row>
    <row r="41" spans="1:11" x14ac:dyDescent="0.3">
      <c r="A41" s="4" t="s">
        <v>81</v>
      </c>
      <c r="B41" s="8">
        <v>45312</v>
      </c>
      <c r="C41" s="4" t="s">
        <v>67</v>
      </c>
      <c r="D41" s="4" t="s">
        <v>11</v>
      </c>
      <c r="E41" s="4" t="s">
        <v>12</v>
      </c>
      <c r="F41" s="4" t="s">
        <v>18</v>
      </c>
      <c r="G41" s="4">
        <v>1</v>
      </c>
      <c r="H41" s="2">
        <v>314.10000000000002</v>
      </c>
      <c r="I41" s="2">
        <v>314.10000000000002</v>
      </c>
      <c r="J41" s="2" t="str">
        <f t="shared" si="0"/>
        <v>Jan</v>
      </c>
      <c r="K41" s="4">
        <f t="shared" si="1"/>
        <v>2024</v>
      </c>
    </row>
    <row r="42" spans="1:11" x14ac:dyDescent="0.3">
      <c r="A42" s="4" t="s">
        <v>82</v>
      </c>
      <c r="B42" s="8">
        <v>45312</v>
      </c>
      <c r="C42" s="4" t="s">
        <v>45</v>
      </c>
      <c r="D42" s="4" t="s">
        <v>16</v>
      </c>
      <c r="E42" s="4" t="s">
        <v>12</v>
      </c>
      <c r="F42" s="4" t="s">
        <v>13</v>
      </c>
      <c r="G42" s="4">
        <v>5</v>
      </c>
      <c r="H42" s="2">
        <v>5499</v>
      </c>
      <c r="I42" s="2">
        <v>27495</v>
      </c>
      <c r="J42" s="2" t="str">
        <f t="shared" si="0"/>
        <v>Jan</v>
      </c>
      <c r="K42" s="4">
        <f t="shared" si="1"/>
        <v>2024</v>
      </c>
    </row>
    <row r="43" spans="1:11" x14ac:dyDescent="0.3">
      <c r="A43" s="4" t="s">
        <v>83</v>
      </c>
      <c r="B43" s="8">
        <v>45312</v>
      </c>
      <c r="C43" s="4" t="s">
        <v>59</v>
      </c>
      <c r="D43" s="4" t="s">
        <v>41</v>
      </c>
      <c r="E43" s="4" t="s">
        <v>17</v>
      </c>
      <c r="F43" s="4" t="s">
        <v>25</v>
      </c>
      <c r="G43" s="4">
        <v>2</v>
      </c>
      <c r="H43" s="2">
        <v>1499</v>
      </c>
      <c r="I43" s="2">
        <v>2998</v>
      </c>
      <c r="J43" s="2" t="str">
        <f t="shared" si="0"/>
        <v>Jan</v>
      </c>
      <c r="K43" s="4">
        <f t="shared" si="1"/>
        <v>2024</v>
      </c>
    </row>
    <row r="44" spans="1:11" x14ac:dyDescent="0.3">
      <c r="A44" s="4" t="s">
        <v>84</v>
      </c>
      <c r="B44" s="8">
        <v>45313</v>
      </c>
      <c r="C44" s="4" t="s">
        <v>27</v>
      </c>
      <c r="D44" s="4" t="s">
        <v>28</v>
      </c>
      <c r="E44" s="4" t="s">
        <v>35</v>
      </c>
      <c r="F44" s="4" t="s">
        <v>21</v>
      </c>
      <c r="G44" s="4">
        <v>5</v>
      </c>
      <c r="H44" s="2">
        <v>3149.1</v>
      </c>
      <c r="I44" s="2">
        <v>15745.5</v>
      </c>
      <c r="J44" s="2" t="str">
        <f t="shared" si="0"/>
        <v>Jan</v>
      </c>
      <c r="K44" s="4">
        <f t="shared" si="1"/>
        <v>2024</v>
      </c>
    </row>
    <row r="45" spans="1:11" x14ac:dyDescent="0.3">
      <c r="A45" s="4" t="s">
        <v>85</v>
      </c>
      <c r="B45" s="8">
        <v>45313</v>
      </c>
      <c r="C45" s="4" t="s">
        <v>86</v>
      </c>
      <c r="D45" s="4" t="s">
        <v>28</v>
      </c>
      <c r="E45" s="4" t="s">
        <v>24</v>
      </c>
      <c r="F45" s="4" t="s">
        <v>47</v>
      </c>
      <c r="G45" s="4">
        <v>2</v>
      </c>
      <c r="H45" s="2">
        <v>899</v>
      </c>
      <c r="I45" s="2">
        <v>1798</v>
      </c>
      <c r="J45" s="2" t="str">
        <f t="shared" si="0"/>
        <v>Jan</v>
      </c>
      <c r="K45" s="4">
        <f t="shared" si="1"/>
        <v>2024</v>
      </c>
    </row>
    <row r="46" spans="1:11" x14ac:dyDescent="0.3">
      <c r="A46" s="4" t="s">
        <v>87</v>
      </c>
      <c r="B46" s="8">
        <v>45314</v>
      </c>
      <c r="C46" s="4" t="s">
        <v>50</v>
      </c>
      <c r="D46" s="4" t="s">
        <v>41</v>
      </c>
      <c r="E46" s="4" t="s">
        <v>35</v>
      </c>
      <c r="F46" s="4" t="s">
        <v>21</v>
      </c>
      <c r="G46" s="4">
        <v>4</v>
      </c>
      <c r="H46" s="2">
        <v>999</v>
      </c>
      <c r="I46" s="2">
        <v>3996</v>
      </c>
      <c r="J46" s="2" t="str">
        <f t="shared" si="0"/>
        <v>Jan</v>
      </c>
      <c r="K46" s="4">
        <f t="shared" si="1"/>
        <v>2024</v>
      </c>
    </row>
    <row r="47" spans="1:11" x14ac:dyDescent="0.3">
      <c r="A47" s="4" t="s">
        <v>88</v>
      </c>
      <c r="B47" s="8">
        <v>45314</v>
      </c>
      <c r="C47" s="4" t="s">
        <v>37</v>
      </c>
      <c r="D47" s="4" t="s">
        <v>16</v>
      </c>
      <c r="E47" s="4" t="s">
        <v>35</v>
      </c>
      <c r="F47" s="4" t="s">
        <v>47</v>
      </c>
      <c r="G47" s="4">
        <v>1</v>
      </c>
      <c r="H47" s="2">
        <v>899</v>
      </c>
      <c r="I47" s="2">
        <v>899</v>
      </c>
      <c r="J47" s="2" t="str">
        <f t="shared" si="0"/>
        <v>Jan</v>
      </c>
      <c r="K47" s="4">
        <f t="shared" si="1"/>
        <v>2024</v>
      </c>
    </row>
    <row r="48" spans="1:11" x14ac:dyDescent="0.3">
      <c r="A48" s="4" t="s">
        <v>89</v>
      </c>
      <c r="B48" s="8">
        <v>45315</v>
      </c>
      <c r="C48" s="4" t="s">
        <v>59</v>
      </c>
      <c r="D48" s="4" t="s">
        <v>41</v>
      </c>
      <c r="E48" s="4" t="s">
        <v>24</v>
      </c>
      <c r="F48" s="4" t="s">
        <v>25</v>
      </c>
      <c r="G48" s="4">
        <v>8</v>
      </c>
      <c r="H48" s="2">
        <v>1499</v>
      </c>
      <c r="I48" s="2">
        <v>11992</v>
      </c>
      <c r="J48" s="2" t="str">
        <f t="shared" si="0"/>
        <v>Jan</v>
      </c>
      <c r="K48" s="4">
        <f t="shared" si="1"/>
        <v>2024</v>
      </c>
    </row>
    <row r="49" spans="1:11" x14ac:dyDescent="0.3">
      <c r="A49" s="4" t="s">
        <v>90</v>
      </c>
      <c r="B49" s="8">
        <v>45315</v>
      </c>
      <c r="C49" s="4" t="s">
        <v>10</v>
      </c>
      <c r="D49" s="4" t="s">
        <v>11</v>
      </c>
      <c r="E49" s="4" t="s">
        <v>35</v>
      </c>
      <c r="F49" s="4" t="s">
        <v>25</v>
      </c>
      <c r="G49" s="4">
        <v>4</v>
      </c>
      <c r="H49" s="2">
        <v>299</v>
      </c>
      <c r="I49" s="2">
        <v>1196</v>
      </c>
      <c r="J49" s="2" t="str">
        <f t="shared" si="0"/>
        <v>Jan</v>
      </c>
      <c r="K49" s="4">
        <f t="shared" si="1"/>
        <v>2024</v>
      </c>
    </row>
    <row r="50" spans="1:11" x14ac:dyDescent="0.3">
      <c r="A50" s="4" t="s">
        <v>91</v>
      </c>
      <c r="B50" s="8">
        <v>45316</v>
      </c>
      <c r="C50" s="4" t="s">
        <v>57</v>
      </c>
      <c r="D50" s="4" t="s">
        <v>31</v>
      </c>
      <c r="E50" s="4" t="s">
        <v>24</v>
      </c>
      <c r="F50" s="4" t="s">
        <v>32</v>
      </c>
      <c r="G50" s="4">
        <v>1</v>
      </c>
      <c r="H50" s="2">
        <v>1299</v>
      </c>
      <c r="I50" s="2">
        <v>1299</v>
      </c>
      <c r="J50" s="2" t="str">
        <f t="shared" si="0"/>
        <v>Jan</v>
      </c>
      <c r="K50" s="4">
        <f t="shared" si="1"/>
        <v>2024</v>
      </c>
    </row>
    <row r="51" spans="1:11" x14ac:dyDescent="0.3">
      <c r="A51" s="4" t="s">
        <v>92</v>
      </c>
      <c r="B51" s="8">
        <v>45316</v>
      </c>
      <c r="C51" s="4" t="s">
        <v>50</v>
      </c>
      <c r="D51" s="4" t="s">
        <v>41</v>
      </c>
      <c r="E51" s="4" t="s">
        <v>12</v>
      </c>
      <c r="F51" s="4" t="s">
        <v>13</v>
      </c>
      <c r="G51" s="4">
        <v>3</v>
      </c>
      <c r="H51" s="2">
        <v>999</v>
      </c>
      <c r="I51" s="2">
        <v>2997</v>
      </c>
      <c r="J51" s="2" t="str">
        <f t="shared" si="0"/>
        <v>Jan</v>
      </c>
      <c r="K51" s="4">
        <f t="shared" si="1"/>
        <v>2024</v>
      </c>
    </row>
    <row r="52" spans="1:11" x14ac:dyDescent="0.3">
      <c r="A52" s="4" t="s">
        <v>93</v>
      </c>
      <c r="B52" s="8">
        <v>45316</v>
      </c>
      <c r="C52" s="4" t="s">
        <v>52</v>
      </c>
      <c r="D52" s="4" t="s">
        <v>31</v>
      </c>
      <c r="E52" s="4" t="s">
        <v>12</v>
      </c>
      <c r="F52" s="4" t="s">
        <v>18</v>
      </c>
      <c r="G52" s="4">
        <v>6</v>
      </c>
      <c r="H52" s="2">
        <v>3799.05</v>
      </c>
      <c r="I52" s="2">
        <v>22794.3</v>
      </c>
      <c r="J52" s="2" t="str">
        <f t="shared" si="0"/>
        <v>Jan</v>
      </c>
      <c r="K52" s="4">
        <f t="shared" si="1"/>
        <v>2024</v>
      </c>
    </row>
    <row r="53" spans="1:11" x14ac:dyDescent="0.3">
      <c r="A53" s="4" t="s">
        <v>94</v>
      </c>
      <c r="B53" s="8">
        <v>45316</v>
      </c>
      <c r="C53" s="4" t="s">
        <v>64</v>
      </c>
      <c r="D53" s="4" t="s">
        <v>41</v>
      </c>
      <c r="E53" s="4" t="s">
        <v>12</v>
      </c>
      <c r="F53" s="4" t="s">
        <v>32</v>
      </c>
      <c r="G53" s="4">
        <v>2</v>
      </c>
      <c r="H53" s="2">
        <v>1799</v>
      </c>
      <c r="I53" s="2">
        <v>3598</v>
      </c>
      <c r="J53" s="2" t="str">
        <f t="shared" si="0"/>
        <v>Jan</v>
      </c>
      <c r="K53" s="4">
        <f t="shared" si="1"/>
        <v>2024</v>
      </c>
    </row>
    <row r="54" spans="1:11" x14ac:dyDescent="0.3">
      <c r="A54" s="4" t="s">
        <v>95</v>
      </c>
      <c r="B54" s="8">
        <v>45316</v>
      </c>
      <c r="C54" s="4" t="s">
        <v>72</v>
      </c>
      <c r="D54" s="4" t="s">
        <v>16</v>
      </c>
      <c r="E54" s="4" t="s">
        <v>24</v>
      </c>
      <c r="F54" s="4" t="s">
        <v>21</v>
      </c>
      <c r="G54" s="4">
        <v>6</v>
      </c>
      <c r="H54" s="2">
        <v>1709.05</v>
      </c>
      <c r="I54" s="2">
        <v>10254.299999999999</v>
      </c>
      <c r="J54" s="2" t="str">
        <f t="shared" si="0"/>
        <v>Jan</v>
      </c>
      <c r="K54" s="4">
        <f t="shared" si="1"/>
        <v>2024</v>
      </c>
    </row>
    <row r="55" spans="1:11" x14ac:dyDescent="0.3">
      <c r="A55" s="4" t="s">
        <v>96</v>
      </c>
      <c r="B55" s="8">
        <v>45317</v>
      </c>
      <c r="C55" s="4" t="s">
        <v>40</v>
      </c>
      <c r="D55" s="4" t="s">
        <v>41</v>
      </c>
      <c r="E55" s="4" t="s">
        <v>35</v>
      </c>
      <c r="F55" s="4" t="s">
        <v>13</v>
      </c>
      <c r="G55" s="4">
        <v>6</v>
      </c>
      <c r="H55" s="2">
        <v>2199</v>
      </c>
      <c r="I55" s="2">
        <v>13194</v>
      </c>
      <c r="J55" s="2" t="str">
        <f t="shared" si="0"/>
        <v>Jan</v>
      </c>
      <c r="K55" s="4">
        <f t="shared" si="1"/>
        <v>2024</v>
      </c>
    </row>
    <row r="56" spans="1:11" x14ac:dyDescent="0.3">
      <c r="A56" s="4" t="s">
        <v>97</v>
      </c>
      <c r="B56" s="8">
        <v>45318</v>
      </c>
      <c r="C56" s="4" t="s">
        <v>30</v>
      </c>
      <c r="D56" s="4" t="s">
        <v>31</v>
      </c>
      <c r="E56" s="4" t="s">
        <v>17</v>
      </c>
      <c r="F56" s="4" t="s">
        <v>47</v>
      </c>
      <c r="G56" s="4">
        <v>3</v>
      </c>
      <c r="H56" s="2">
        <v>4499</v>
      </c>
      <c r="I56" s="2">
        <v>13497</v>
      </c>
      <c r="J56" s="2" t="str">
        <f t="shared" si="0"/>
        <v>Jan</v>
      </c>
      <c r="K56" s="4">
        <f t="shared" si="1"/>
        <v>2024</v>
      </c>
    </row>
    <row r="57" spans="1:11" x14ac:dyDescent="0.3">
      <c r="A57" s="4" t="s">
        <v>98</v>
      </c>
      <c r="B57" s="8">
        <v>45318</v>
      </c>
      <c r="C57" s="4" t="s">
        <v>27</v>
      </c>
      <c r="D57" s="4" t="s">
        <v>28</v>
      </c>
      <c r="E57" s="4" t="s">
        <v>12</v>
      </c>
      <c r="F57" s="4" t="s">
        <v>13</v>
      </c>
      <c r="G57" s="4">
        <v>4</v>
      </c>
      <c r="H57" s="2">
        <v>3499</v>
      </c>
      <c r="I57" s="2">
        <v>13996</v>
      </c>
      <c r="J57" s="2" t="str">
        <f t="shared" si="0"/>
        <v>Jan</v>
      </c>
      <c r="K57" s="4">
        <f t="shared" si="1"/>
        <v>2024</v>
      </c>
    </row>
    <row r="58" spans="1:11" x14ac:dyDescent="0.3">
      <c r="A58" s="4" t="s">
        <v>99</v>
      </c>
      <c r="B58" s="8">
        <v>45318</v>
      </c>
      <c r="C58" s="4" t="s">
        <v>15</v>
      </c>
      <c r="D58" s="4" t="s">
        <v>16</v>
      </c>
      <c r="E58" s="4" t="s">
        <v>17</v>
      </c>
      <c r="F58" s="4" t="s">
        <v>25</v>
      </c>
      <c r="G58" s="4">
        <v>4</v>
      </c>
      <c r="H58" s="2">
        <v>1799.1</v>
      </c>
      <c r="I58" s="2">
        <v>7196.4</v>
      </c>
      <c r="J58" s="2" t="str">
        <f t="shared" si="0"/>
        <v>Jan</v>
      </c>
      <c r="K58" s="4">
        <f t="shared" si="1"/>
        <v>2024</v>
      </c>
    </row>
    <row r="59" spans="1:11" x14ac:dyDescent="0.3">
      <c r="A59" s="4" t="s">
        <v>100</v>
      </c>
      <c r="B59" s="8">
        <v>45318</v>
      </c>
      <c r="C59" s="4" t="s">
        <v>72</v>
      </c>
      <c r="D59" s="4" t="s">
        <v>16</v>
      </c>
      <c r="E59" s="4" t="s">
        <v>12</v>
      </c>
      <c r="F59" s="4" t="s">
        <v>18</v>
      </c>
      <c r="G59" s="4">
        <v>4</v>
      </c>
      <c r="H59" s="2">
        <v>1619.1</v>
      </c>
      <c r="I59" s="2">
        <v>6476.4</v>
      </c>
      <c r="J59" s="2" t="str">
        <f t="shared" si="0"/>
        <v>Jan</v>
      </c>
      <c r="K59" s="4">
        <f t="shared" si="1"/>
        <v>2024</v>
      </c>
    </row>
    <row r="60" spans="1:11" x14ac:dyDescent="0.3">
      <c r="A60" s="4" t="s">
        <v>101</v>
      </c>
      <c r="B60" s="8">
        <v>45319</v>
      </c>
      <c r="C60" s="4" t="s">
        <v>67</v>
      </c>
      <c r="D60" s="4" t="s">
        <v>11</v>
      </c>
      <c r="E60" s="4" t="s">
        <v>24</v>
      </c>
      <c r="F60" s="4" t="s">
        <v>32</v>
      </c>
      <c r="G60" s="4">
        <v>5</v>
      </c>
      <c r="H60" s="2">
        <v>331.55</v>
      </c>
      <c r="I60" s="2">
        <v>1657.75</v>
      </c>
      <c r="J60" s="2" t="str">
        <f t="shared" si="0"/>
        <v>Jan</v>
      </c>
      <c r="K60" s="4">
        <f t="shared" si="1"/>
        <v>2024</v>
      </c>
    </row>
    <row r="61" spans="1:11" x14ac:dyDescent="0.3">
      <c r="A61" s="4" t="s">
        <v>102</v>
      </c>
      <c r="B61" s="8">
        <v>45319</v>
      </c>
      <c r="C61" s="4" t="s">
        <v>72</v>
      </c>
      <c r="D61" s="4" t="s">
        <v>16</v>
      </c>
      <c r="E61" s="4" t="s">
        <v>35</v>
      </c>
      <c r="F61" s="4" t="s">
        <v>32</v>
      </c>
      <c r="G61" s="4">
        <v>3</v>
      </c>
      <c r="H61" s="2">
        <v>1799</v>
      </c>
      <c r="I61" s="2">
        <v>5397</v>
      </c>
      <c r="J61" s="2" t="str">
        <f t="shared" si="0"/>
        <v>Jan</v>
      </c>
      <c r="K61" s="4">
        <f t="shared" si="1"/>
        <v>2024</v>
      </c>
    </row>
    <row r="62" spans="1:11" x14ac:dyDescent="0.3">
      <c r="A62" s="4" t="s">
        <v>103</v>
      </c>
      <c r="B62" s="8">
        <v>45319</v>
      </c>
      <c r="C62" s="4" t="s">
        <v>72</v>
      </c>
      <c r="D62" s="4" t="s">
        <v>16</v>
      </c>
      <c r="E62" s="4" t="s">
        <v>17</v>
      </c>
      <c r="F62" s="4" t="s">
        <v>32</v>
      </c>
      <c r="G62" s="4">
        <v>7</v>
      </c>
      <c r="H62" s="2">
        <v>1799</v>
      </c>
      <c r="I62" s="2">
        <v>12593</v>
      </c>
      <c r="J62" s="2" t="str">
        <f t="shared" si="0"/>
        <v>Jan</v>
      </c>
      <c r="K62" s="4">
        <f t="shared" si="1"/>
        <v>2024</v>
      </c>
    </row>
    <row r="63" spans="1:11" x14ac:dyDescent="0.3">
      <c r="A63" s="4" t="s">
        <v>104</v>
      </c>
      <c r="B63" s="8">
        <v>45319</v>
      </c>
      <c r="C63" s="4" t="s">
        <v>52</v>
      </c>
      <c r="D63" s="4" t="s">
        <v>31</v>
      </c>
      <c r="E63" s="4" t="s">
        <v>24</v>
      </c>
      <c r="F63" s="4" t="s">
        <v>47</v>
      </c>
      <c r="G63" s="4">
        <v>4</v>
      </c>
      <c r="H63" s="2">
        <v>3599.1</v>
      </c>
      <c r="I63" s="2">
        <v>14396.4</v>
      </c>
      <c r="J63" s="2" t="str">
        <f t="shared" si="0"/>
        <v>Jan</v>
      </c>
      <c r="K63" s="4">
        <f t="shared" si="1"/>
        <v>2024</v>
      </c>
    </row>
    <row r="64" spans="1:11" x14ac:dyDescent="0.3">
      <c r="A64" s="4" t="s">
        <v>105</v>
      </c>
      <c r="B64" s="8">
        <v>45320</v>
      </c>
      <c r="C64" s="4" t="s">
        <v>64</v>
      </c>
      <c r="D64" s="4" t="s">
        <v>41</v>
      </c>
      <c r="E64" s="4" t="s">
        <v>35</v>
      </c>
      <c r="F64" s="4" t="s">
        <v>32</v>
      </c>
      <c r="G64" s="4">
        <v>3</v>
      </c>
      <c r="H64" s="2">
        <v>1799</v>
      </c>
      <c r="I64" s="2">
        <v>5397</v>
      </c>
      <c r="J64" s="2" t="str">
        <f t="shared" si="0"/>
        <v>Jan</v>
      </c>
      <c r="K64" s="4">
        <f t="shared" si="1"/>
        <v>2024</v>
      </c>
    </row>
    <row r="65" spans="1:11" x14ac:dyDescent="0.3">
      <c r="A65" s="4" t="s">
        <v>106</v>
      </c>
      <c r="B65" s="8">
        <v>45321</v>
      </c>
      <c r="C65" s="4" t="s">
        <v>107</v>
      </c>
      <c r="D65" s="4" t="s">
        <v>31</v>
      </c>
      <c r="E65" s="4" t="s">
        <v>24</v>
      </c>
      <c r="F65" s="4" t="s">
        <v>25</v>
      </c>
      <c r="G65" s="4">
        <v>3</v>
      </c>
      <c r="H65" s="2">
        <v>3299</v>
      </c>
      <c r="I65" s="2">
        <v>9897</v>
      </c>
      <c r="J65" s="2" t="str">
        <f t="shared" si="0"/>
        <v>Jan</v>
      </c>
      <c r="K65" s="4">
        <f t="shared" si="1"/>
        <v>2024</v>
      </c>
    </row>
    <row r="66" spans="1:11" x14ac:dyDescent="0.3">
      <c r="A66" s="4" t="s">
        <v>108</v>
      </c>
      <c r="B66" s="8">
        <v>45321</v>
      </c>
      <c r="C66" s="4" t="s">
        <v>50</v>
      </c>
      <c r="D66" s="4" t="s">
        <v>41</v>
      </c>
      <c r="E66" s="4" t="s">
        <v>17</v>
      </c>
      <c r="F66" s="4" t="s">
        <v>32</v>
      </c>
      <c r="G66" s="4">
        <v>4</v>
      </c>
      <c r="H66" s="2">
        <v>899.1</v>
      </c>
      <c r="I66" s="2">
        <v>3596.4</v>
      </c>
      <c r="J66" s="2" t="str">
        <f t="shared" ref="J66:J129" si="2">TEXT(B66,"mmm")</f>
        <v>Jan</v>
      </c>
      <c r="K66" s="4">
        <f t="shared" ref="K66:K129" si="3">YEAR(B66)</f>
        <v>2024</v>
      </c>
    </row>
    <row r="67" spans="1:11" x14ac:dyDescent="0.3">
      <c r="A67" s="4" t="s">
        <v>109</v>
      </c>
      <c r="B67" s="8">
        <v>45323</v>
      </c>
      <c r="C67" s="4" t="s">
        <v>57</v>
      </c>
      <c r="D67" s="4" t="s">
        <v>31</v>
      </c>
      <c r="E67" s="4" t="s">
        <v>17</v>
      </c>
      <c r="F67" s="4" t="s">
        <v>18</v>
      </c>
      <c r="G67" s="4">
        <v>6</v>
      </c>
      <c r="H67" s="2">
        <v>1234.05</v>
      </c>
      <c r="I67" s="2">
        <v>7404.3</v>
      </c>
      <c r="J67" s="2" t="str">
        <f t="shared" si="2"/>
        <v>Feb</v>
      </c>
      <c r="K67" s="4">
        <f t="shared" si="3"/>
        <v>2024</v>
      </c>
    </row>
    <row r="68" spans="1:11" x14ac:dyDescent="0.3">
      <c r="A68" s="4" t="s">
        <v>110</v>
      </c>
      <c r="B68" s="8">
        <v>45324</v>
      </c>
      <c r="C68" s="4" t="s">
        <v>23</v>
      </c>
      <c r="D68" s="4" t="s">
        <v>16</v>
      </c>
      <c r="E68" s="4" t="s">
        <v>17</v>
      </c>
      <c r="F68" s="4" t="s">
        <v>13</v>
      </c>
      <c r="G68" s="4">
        <v>5</v>
      </c>
      <c r="H68" s="2">
        <v>2374.0500000000002</v>
      </c>
      <c r="I68" s="2">
        <v>11870.25</v>
      </c>
      <c r="J68" s="2" t="str">
        <f t="shared" si="2"/>
        <v>Feb</v>
      </c>
      <c r="K68" s="4">
        <f t="shared" si="3"/>
        <v>2024</v>
      </c>
    </row>
    <row r="69" spans="1:11" x14ac:dyDescent="0.3">
      <c r="A69" s="4" t="s">
        <v>111</v>
      </c>
      <c r="B69" s="8">
        <v>45326</v>
      </c>
      <c r="C69" s="4" t="s">
        <v>67</v>
      </c>
      <c r="D69" s="4" t="s">
        <v>11</v>
      </c>
      <c r="E69" s="4" t="s">
        <v>17</v>
      </c>
      <c r="F69" s="4" t="s">
        <v>21</v>
      </c>
      <c r="G69" s="4">
        <v>3</v>
      </c>
      <c r="H69" s="2">
        <v>349</v>
      </c>
      <c r="I69" s="2">
        <v>1047</v>
      </c>
      <c r="J69" s="2" t="str">
        <f t="shared" si="2"/>
        <v>Feb</v>
      </c>
      <c r="K69" s="4">
        <f t="shared" si="3"/>
        <v>2024</v>
      </c>
    </row>
    <row r="70" spans="1:11" x14ac:dyDescent="0.3">
      <c r="A70" s="4" t="s">
        <v>112</v>
      </c>
      <c r="B70" s="8">
        <v>45326</v>
      </c>
      <c r="C70" s="4" t="s">
        <v>70</v>
      </c>
      <c r="D70" s="4" t="s">
        <v>28</v>
      </c>
      <c r="E70" s="4" t="s">
        <v>24</v>
      </c>
      <c r="F70" s="4" t="s">
        <v>25</v>
      </c>
      <c r="G70" s="4">
        <v>1</v>
      </c>
      <c r="H70" s="2">
        <v>1199</v>
      </c>
      <c r="I70" s="2">
        <v>1199</v>
      </c>
      <c r="J70" s="2" t="str">
        <f t="shared" si="2"/>
        <v>Feb</v>
      </c>
      <c r="K70" s="4">
        <f t="shared" si="3"/>
        <v>2024</v>
      </c>
    </row>
    <row r="71" spans="1:11" x14ac:dyDescent="0.3">
      <c r="A71" s="4" t="s">
        <v>113</v>
      </c>
      <c r="B71" s="8">
        <v>45326</v>
      </c>
      <c r="C71" s="4" t="s">
        <v>40</v>
      </c>
      <c r="D71" s="4" t="s">
        <v>41</v>
      </c>
      <c r="E71" s="4" t="s">
        <v>17</v>
      </c>
      <c r="F71" s="4" t="s">
        <v>47</v>
      </c>
      <c r="G71" s="4">
        <v>5</v>
      </c>
      <c r="H71" s="2">
        <v>2199</v>
      </c>
      <c r="I71" s="2">
        <v>10995</v>
      </c>
      <c r="J71" s="2" t="str">
        <f t="shared" si="2"/>
        <v>Feb</v>
      </c>
      <c r="K71" s="4">
        <f t="shared" si="3"/>
        <v>2024</v>
      </c>
    </row>
    <row r="72" spans="1:11" x14ac:dyDescent="0.3">
      <c r="A72" s="4" t="s">
        <v>114</v>
      </c>
      <c r="B72" s="8">
        <v>45326</v>
      </c>
      <c r="C72" s="4" t="s">
        <v>23</v>
      </c>
      <c r="D72" s="4" t="s">
        <v>16</v>
      </c>
      <c r="E72" s="4" t="s">
        <v>35</v>
      </c>
      <c r="F72" s="4" t="s">
        <v>21</v>
      </c>
      <c r="G72" s="4">
        <v>4</v>
      </c>
      <c r="H72" s="2">
        <v>2499</v>
      </c>
      <c r="I72" s="2">
        <v>9996</v>
      </c>
      <c r="J72" s="2" t="str">
        <f t="shared" si="2"/>
        <v>Feb</v>
      </c>
      <c r="K72" s="4">
        <f t="shared" si="3"/>
        <v>2024</v>
      </c>
    </row>
    <row r="73" spans="1:11" x14ac:dyDescent="0.3">
      <c r="A73" s="4" t="s">
        <v>115</v>
      </c>
      <c r="B73" s="8">
        <v>45326</v>
      </c>
      <c r="C73" s="4" t="s">
        <v>107</v>
      </c>
      <c r="D73" s="4" t="s">
        <v>31</v>
      </c>
      <c r="E73" s="4" t="s">
        <v>24</v>
      </c>
      <c r="F73" s="4" t="s">
        <v>13</v>
      </c>
      <c r="G73" s="4">
        <v>4</v>
      </c>
      <c r="H73" s="2">
        <v>3299</v>
      </c>
      <c r="I73" s="2">
        <v>13196</v>
      </c>
      <c r="J73" s="2" t="str">
        <f t="shared" si="2"/>
        <v>Feb</v>
      </c>
      <c r="K73" s="4">
        <f t="shared" si="3"/>
        <v>2024</v>
      </c>
    </row>
    <row r="74" spans="1:11" x14ac:dyDescent="0.3">
      <c r="A74" s="4" t="s">
        <v>116</v>
      </c>
      <c r="B74" s="8">
        <v>45327</v>
      </c>
      <c r="C74" s="4" t="s">
        <v>30</v>
      </c>
      <c r="D74" s="4" t="s">
        <v>31</v>
      </c>
      <c r="E74" s="4" t="s">
        <v>35</v>
      </c>
      <c r="F74" s="4" t="s">
        <v>25</v>
      </c>
      <c r="G74" s="4">
        <v>3</v>
      </c>
      <c r="H74" s="2">
        <v>4499</v>
      </c>
      <c r="I74" s="2">
        <v>13497</v>
      </c>
      <c r="J74" s="2" t="str">
        <f t="shared" si="2"/>
        <v>Feb</v>
      </c>
      <c r="K74" s="4">
        <f t="shared" si="3"/>
        <v>2024</v>
      </c>
    </row>
    <row r="75" spans="1:11" x14ac:dyDescent="0.3">
      <c r="A75" s="4" t="s">
        <v>117</v>
      </c>
      <c r="B75" s="8">
        <v>45328</v>
      </c>
      <c r="C75" s="4" t="s">
        <v>86</v>
      </c>
      <c r="D75" s="4" t="s">
        <v>28</v>
      </c>
      <c r="E75" s="4" t="s">
        <v>35</v>
      </c>
      <c r="F75" s="4" t="s">
        <v>32</v>
      </c>
      <c r="G75" s="4">
        <v>6</v>
      </c>
      <c r="H75" s="2">
        <v>899</v>
      </c>
      <c r="I75" s="2">
        <v>5394</v>
      </c>
      <c r="J75" s="2" t="str">
        <f t="shared" si="2"/>
        <v>Feb</v>
      </c>
      <c r="K75" s="4">
        <f t="shared" si="3"/>
        <v>2024</v>
      </c>
    </row>
    <row r="76" spans="1:11" x14ac:dyDescent="0.3">
      <c r="A76" s="4" t="s">
        <v>118</v>
      </c>
      <c r="B76" s="8">
        <v>45329</v>
      </c>
      <c r="C76" s="4" t="s">
        <v>67</v>
      </c>
      <c r="D76" s="4" t="s">
        <v>11</v>
      </c>
      <c r="E76" s="4" t="s">
        <v>12</v>
      </c>
      <c r="F76" s="4" t="s">
        <v>32</v>
      </c>
      <c r="G76" s="4">
        <v>5</v>
      </c>
      <c r="H76" s="2">
        <v>349</v>
      </c>
      <c r="I76" s="2">
        <v>1745</v>
      </c>
      <c r="J76" s="2" t="str">
        <f t="shared" si="2"/>
        <v>Feb</v>
      </c>
      <c r="K76" s="4">
        <f t="shared" si="3"/>
        <v>2024</v>
      </c>
    </row>
    <row r="77" spans="1:11" x14ac:dyDescent="0.3">
      <c r="A77" s="4" t="s">
        <v>119</v>
      </c>
      <c r="B77" s="8">
        <v>45329</v>
      </c>
      <c r="C77" s="4" t="s">
        <v>23</v>
      </c>
      <c r="D77" s="4" t="s">
        <v>16</v>
      </c>
      <c r="E77" s="4" t="s">
        <v>35</v>
      </c>
      <c r="F77" s="4" t="s">
        <v>13</v>
      </c>
      <c r="G77" s="4">
        <v>6</v>
      </c>
      <c r="H77" s="2">
        <v>2499</v>
      </c>
      <c r="I77" s="2">
        <v>14994</v>
      </c>
      <c r="J77" s="2" t="str">
        <f t="shared" si="2"/>
        <v>Feb</v>
      </c>
      <c r="K77" s="4">
        <f t="shared" si="3"/>
        <v>2024</v>
      </c>
    </row>
    <row r="78" spans="1:11" x14ac:dyDescent="0.3">
      <c r="A78" s="4" t="s">
        <v>120</v>
      </c>
      <c r="B78" s="8">
        <v>45329</v>
      </c>
      <c r="C78" s="4" t="s">
        <v>86</v>
      </c>
      <c r="D78" s="4" t="s">
        <v>28</v>
      </c>
      <c r="E78" s="4" t="s">
        <v>12</v>
      </c>
      <c r="F78" s="4" t="s">
        <v>18</v>
      </c>
      <c r="G78" s="4">
        <v>2</v>
      </c>
      <c r="H78" s="2">
        <v>899</v>
      </c>
      <c r="I78" s="2">
        <v>1798</v>
      </c>
      <c r="J78" s="2" t="str">
        <f t="shared" si="2"/>
        <v>Feb</v>
      </c>
      <c r="K78" s="4">
        <f t="shared" si="3"/>
        <v>2024</v>
      </c>
    </row>
    <row r="79" spans="1:11" x14ac:dyDescent="0.3">
      <c r="A79" s="4" t="s">
        <v>121</v>
      </c>
      <c r="B79" s="8">
        <v>45329</v>
      </c>
      <c r="C79" s="4" t="s">
        <v>10</v>
      </c>
      <c r="D79" s="4" t="s">
        <v>11</v>
      </c>
      <c r="E79" s="4" t="s">
        <v>35</v>
      </c>
      <c r="F79" s="4" t="s">
        <v>21</v>
      </c>
      <c r="G79" s="4">
        <v>3</v>
      </c>
      <c r="H79" s="2">
        <v>299</v>
      </c>
      <c r="I79" s="2">
        <v>897</v>
      </c>
      <c r="J79" s="2" t="str">
        <f t="shared" si="2"/>
        <v>Feb</v>
      </c>
      <c r="K79" s="4">
        <f t="shared" si="3"/>
        <v>2024</v>
      </c>
    </row>
    <row r="80" spans="1:11" x14ac:dyDescent="0.3">
      <c r="A80" s="4" t="s">
        <v>122</v>
      </c>
      <c r="B80" s="8">
        <v>45329</v>
      </c>
      <c r="C80" s="4" t="s">
        <v>86</v>
      </c>
      <c r="D80" s="4" t="s">
        <v>28</v>
      </c>
      <c r="E80" s="4" t="s">
        <v>17</v>
      </c>
      <c r="F80" s="4" t="s">
        <v>25</v>
      </c>
      <c r="G80" s="4">
        <v>3</v>
      </c>
      <c r="H80" s="2">
        <v>854.05</v>
      </c>
      <c r="I80" s="2">
        <v>2562.15</v>
      </c>
      <c r="J80" s="2" t="str">
        <f t="shared" si="2"/>
        <v>Feb</v>
      </c>
      <c r="K80" s="4">
        <f t="shared" si="3"/>
        <v>2024</v>
      </c>
    </row>
    <row r="81" spans="1:11" x14ac:dyDescent="0.3">
      <c r="A81" s="4" t="s">
        <v>123</v>
      </c>
      <c r="B81" s="8">
        <v>45330</v>
      </c>
      <c r="C81" s="4" t="s">
        <v>67</v>
      </c>
      <c r="D81" s="4" t="s">
        <v>11</v>
      </c>
      <c r="E81" s="4" t="s">
        <v>12</v>
      </c>
      <c r="F81" s="4" t="s">
        <v>13</v>
      </c>
      <c r="G81" s="4">
        <v>8</v>
      </c>
      <c r="H81" s="2">
        <v>349</v>
      </c>
      <c r="I81" s="2">
        <v>2792</v>
      </c>
      <c r="J81" s="2" t="str">
        <f t="shared" si="2"/>
        <v>Feb</v>
      </c>
      <c r="K81" s="4">
        <f t="shared" si="3"/>
        <v>2024</v>
      </c>
    </row>
    <row r="82" spans="1:11" x14ac:dyDescent="0.3">
      <c r="A82" s="4" t="s">
        <v>124</v>
      </c>
      <c r="B82" s="8">
        <v>45330</v>
      </c>
      <c r="C82" s="4" t="s">
        <v>34</v>
      </c>
      <c r="D82" s="4" t="s">
        <v>28</v>
      </c>
      <c r="E82" s="4" t="s">
        <v>17</v>
      </c>
      <c r="F82" s="4" t="s">
        <v>25</v>
      </c>
      <c r="G82" s="4">
        <v>5</v>
      </c>
      <c r="H82" s="2">
        <v>799</v>
      </c>
      <c r="I82" s="2">
        <v>3995</v>
      </c>
      <c r="J82" s="2" t="str">
        <f t="shared" si="2"/>
        <v>Feb</v>
      </c>
      <c r="K82" s="4">
        <f t="shared" si="3"/>
        <v>2024</v>
      </c>
    </row>
    <row r="83" spans="1:11" x14ac:dyDescent="0.3">
      <c r="A83" s="4" t="s">
        <v>125</v>
      </c>
      <c r="B83" s="8">
        <v>45332</v>
      </c>
      <c r="C83" s="4" t="s">
        <v>70</v>
      </c>
      <c r="D83" s="4" t="s">
        <v>28</v>
      </c>
      <c r="E83" s="4" t="s">
        <v>24</v>
      </c>
      <c r="F83" s="4" t="s">
        <v>18</v>
      </c>
      <c r="G83" s="4">
        <v>7</v>
      </c>
      <c r="H83" s="2">
        <v>1199</v>
      </c>
      <c r="I83" s="2">
        <v>8393</v>
      </c>
      <c r="J83" s="2" t="str">
        <f t="shared" si="2"/>
        <v>Feb</v>
      </c>
      <c r="K83" s="4">
        <f t="shared" si="3"/>
        <v>2024</v>
      </c>
    </row>
    <row r="84" spans="1:11" x14ac:dyDescent="0.3">
      <c r="A84" s="4" t="s">
        <v>126</v>
      </c>
      <c r="B84" s="8">
        <v>45333</v>
      </c>
      <c r="C84" s="4" t="s">
        <v>50</v>
      </c>
      <c r="D84" s="4" t="s">
        <v>41</v>
      </c>
      <c r="E84" s="4" t="s">
        <v>17</v>
      </c>
      <c r="F84" s="4" t="s">
        <v>18</v>
      </c>
      <c r="G84" s="4">
        <v>1</v>
      </c>
      <c r="H84" s="2">
        <v>899.1</v>
      </c>
      <c r="I84" s="2">
        <v>899.1</v>
      </c>
      <c r="J84" s="2" t="str">
        <f t="shared" si="2"/>
        <v>Feb</v>
      </c>
      <c r="K84" s="4">
        <f t="shared" si="3"/>
        <v>2024</v>
      </c>
    </row>
    <row r="85" spans="1:11" x14ac:dyDescent="0.3">
      <c r="A85" s="4" t="s">
        <v>127</v>
      </c>
      <c r="B85" s="8">
        <v>45333</v>
      </c>
      <c r="C85" s="4" t="s">
        <v>10</v>
      </c>
      <c r="D85" s="4" t="s">
        <v>11</v>
      </c>
      <c r="E85" s="4" t="s">
        <v>35</v>
      </c>
      <c r="F85" s="4" t="s">
        <v>25</v>
      </c>
      <c r="G85" s="4">
        <v>8</v>
      </c>
      <c r="H85" s="2">
        <v>299</v>
      </c>
      <c r="I85" s="2">
        <v>2392</v>
      </c>
      <c r="J85" s="2" t="str">
        <f t="shared" si="2"/>
        <v>Feb</v>
      </c>
      <c r="K85" s="4">
        <f t="shared" si="3"/>
        <v>2024</v>
      </c>
    </row>
    <row r="86" spans="1:11" x14ac:dyDescent="0.3">
      <c r="A86" s="4" t="s">
        <v>128</v>
      </c>
      <c r="B86" s="8">
        <v>45333</v>
      </c>
      <c r="C86" s="4" t="s">
        <v>45</v>
      </c>
      <c r="D86" s="4" t="s">
        <v>16</v>
      </c>
      <c r="E86" s="4" t="s">
        <v>12</v>
      </c>
      <c r="F86" s="4" t="s">
        <v>47</v>
      </c>
      <c r="G86" s="4">
        <v>1</v>
      </c>
      <c r="H86" s="2">
        <v>5499</v>
      </c>
      <c r="I86" s="2">
        <v>5499</v>
      </c>
      <c r="J86" s="2" t="str">
        <f t="shared" si="2"/>
        <v>Feb</v>
      </c>
      <c r="K86" s="4">
        <f t="shared" si="3"/>
        <v>2024</v>
      </c>
    </row>
    <row r="87" spans="1:11" x14ac:dyDescent="0.3">
      <c r="A87" s="4" t="s">
        <v>129</v>
      </c>
      <c r="B87" s="8">
        <v>45334</v>
      </c>
      <c r="C87" s="4" t="s">
        <v>70</v>
      </c>
      <c r="D87" s="4" t="s">
        <v>28</v>
      </c>
      <c r="E87" s="4" t="s">
        <v>17</v>
      </c>
      <c r="F87" s="4" t="s">
        <v>21</v>
      </c>
      <c r="G87" s="4">
        <v>5</v>
      </c>
      <c r="H87" s="2">
        <v>1199</v>
      </c>
      <c r="I87" s="2">
        <v>5995</v>
      </c>
      <c r="J87" s="2" t="str">
        <f t="shared" si="2"/>
        <v>Feb</v>
      </c>
      <c r="K87" s="4">
        <f t="shared" si="3"/>
        <v>2024</v>
      </c>
    </row>
    <row r="88" spans="1:11" x14ac:dyDescent="0.3">
      <c r="A88" s="4" t="s">
        <v>130</v>
      </c>
      <c r="B88" s="8">
        <v>45334</v>
      </c>
      <c r="C88" s="4" t="s">
        <v>45</v>
      </c>
      <c r="D88" s="4" t="s">
        <v>16</v>
      </c>
      <c r="E88" s="4" t="s">
        <v>12</v>
      </c>
      <c r="F88" s="4" t="s">
        <v>25</v>
      </c>
      <c r="G88" s="4">
        <v>7</v>
      </c>
      <c r="H88" s="2">
        <v>5499</v>
      </c>
      <c r="I88" s="2">
        <v>38493</v>
      </c>
      <c r="J88" s="2" t="str">
        <f t="shared" si="2"/>
        <v>Feb</v>
      </c>
      <c r="K88" s="4">
        <f t="shared" si="3"/>
        <v>2024</v>
      </c>
    </row>
    <row r="89" spans="1:11" x14ac:dyDescent="0.3">
      <c r="A89" s="4" t="s">
        <v>131</v>
      </c>
      <c r="B89" s="8">
        <v>45335</v>
      </c>
      <c r="C89" s="4" t="s">
        <v>52</v>
      </c>
      <c r="D89" s="4" t="s">
        <v>31</v>
      </c>
      <c r="E89" s="4" t="s">
        <v>12</v>
      </c>
      <c r="F89" s="4" t="s">
        <v>13</v>
      </c>
      <c r="G89" s="4">
        <v>4</v>
      </c>
      <c r="H89" s="2">
        <v>3999</v>
      </c>
      <c r="I89" s="2">
        <v>15996</v>
      </c>
      <c r="J89" s="2" t="str">
        <f t="shared" si="2"/>
        <v>Feb</v>
      </c>
      <c r="K89" s="4">
        <f t="shared" si="3"/>
        <v>2024</v>
      </c>
    </row>
    <row r="90" spans="1:11" x14ac:dyDescent="0.3">
      <c r="A90" s="4" t="s">
        <v>132</v>
      </c>
      <c r="B90" s="8">
        <v>45335</v>
      </c>
      <c r="C90" s="4" t="s">
        <v>34</v>
      </c>
      <c r="D90" s="4" t="s">
        <v>28</v>
      </c>
      <c r="E90" s="4" t="s">
        <v>24</v>
      </c>
      <c r="F90" s="4" t="s">
        <v>47</v>
      </c>
      <c r="G90" s="4">
        <v>1</v>
      </c>
      <c r="H90" s="2">
        <v>799</v>
      </c>
      <c r="I90" s="2">
        <v>799</v>
      </c>
      <c r="J90" s="2" t="str">
        <f t="shared" si="2"/>
        <v>Feb</v>
      </c>
      <c r="K90" s="4">
        <f t="shared" si="3"/>
        <v>2024</v>
      </c>
    </row>
    <row r="91" spans="1:11" x14ac:dyDescent="0.3">
      <c r="A91" s="4" t="s">
        <v>133</v>
      </c>
      <c r="B91" s="8">
        <v>45335</v>
      </c>
      <c r="C91" s="4" t="s">
        <v>64</v>
      </c>
      <c r="D91" s="4" t="s">
        <v>41</v>
      </c>
      <c r="E91" s="4" t="s">
        <v>12</v>
      </c>
      <c r="F91" s="4" t="s">
        <v>32</v>
      </c>
      <c r="G91" s="4">
        <v>5</v>
      </c>
      <c r="H91" s="2">
        <v>1799</v>
      </c>
      <c r="I91" s="2">
        <v>8995</v>
      </c>
      <c r="J91" s="2" t="str">
        <f t="shared" si="2"/>
        <v>Feb</v>
      </c>
      <c r="K91" s="4">
        <f t="shared" si="3"/>
        <v>2024</v>
      </c>
    </row>
    <row r="92" spans="1:11" x14ac:dyDescent="0.3">
      <c r="A92" s="4" t="s">
        <v>134</v>
      </c>
      <c r="B92" s="8">
        <v>45336</v>
      </c>
      <c r="C92" s="4" t="s">
        <v>70</v>
      </c>
      <c r="D92" s="4" t="s">
        <v>28</v>
      </c>
      <c r="E92" s="4" t="s">
        <v>24</v>
      </c>
      <c r="F92" s="4" t="s">
        <v>32</v>
      </c>
      <c r="G92" s="4">
        <v>2</v>
      </c>
      <c r="H92" s="2">
        <v>1199</v>
      </c>
      <c r="I92" s="2">
        <v>2398</v>
      </c>
      <c r="J92" s="2" t="str">
        <f t="shared" si="2"/>
        <v>Feb</v>
      </c>
      <c r="K92" s="4">
        <f t="shared" si="3"/>
        <v>2024</v>
      </c>
    </row>
    <row r="93" spans="1:11" x14ac:dyDescent="0.3">
      <c r="A93" s="4" t="s">
        <v>135</v>
      </c>
      <c r="B93" s="8">
        <v>45337</v>
      </c>
      <c r="C93" s="4" t="s">
        <v>70</v>
      </c>
      <c r="D93" s="4" t="s">
        <v>28</v>
      </c>
      <c r="E93" s="4" t="s">
        <v>12</v>
      </c>
      <c r="F93" s="4" t="s">
        <v>21</v>
      </c>
      <c r="G93" s="4">
        <v>4</v>
      </c>
      <c r="H93" s="2">
        <v>1199</v>
      </c>
      <c r="I93" s="2">
        <v>4796</v>
      </c>
      <c r="J93" s="2" t="str">
        <f t="shared" si="2"/>
        <v>Feb</v>
      </c>
      <c r="K93" s="4">
        <f t="shared" si="3"/>
        <v>2024</v>
      </c>
    </row>
    <row r="94" spans="1:11" x14ac:dyDescent="0.3">
      <c r="A94" s="4" t="s">
        <v>136</v>
      </c>
      <c r="B94" s="8">
        <v>45337</v>
      </c>
      <c r="C94" s="4" t="s">
        <v>64</v>
      </c>
      <c r="D94" s="4" t="s">
        <v>41</v>
      </c>
      <c r="E94" s="4" t="s">
        <v>12</v>
      </c>
      <c r="F94" s="4" t="s">
        <v>47</v>
      </c>
      <c r="G94" s="4">
        <v>6</v>
      </c>
      <c r="H94" s="2">
        <v>1619.1</v>
      </c>
      <c r="I94" s="2">
        <v>9714.6</v>
      </c>
      <c r="J94" s="2" t="str">
        <f t="shared" si="2"/>
        <v>Feb</v>
      </c>
      <c r="K94" s="4">
        <f t="shared" si="3"/>
        <v>2024</v>
      </c>
    </row>
    <row r="95" spans="1:11" x14ac:dyDescent="0.3">
      <c r="A95" s="4" t="s">
        <v>137</v>
      </c>
      <c r="B95" s="8">
        <v>45337</v>
      </c>
      <c r="C95" s="4" t="s">
        <v>15</v>
      </c>
      <c r="D95" s="4" t="s">
        <v>16</v>
      </c>
      <c r="E95" s="4" t="s">
        <v>17</v>
      </c>
      <c r="F95" s="4" t="s">
        <v>47</v>
      </c>
      <c r="G95" s="4">
        <v>3</v>
      </c>
      <c r="H95" s="2">
        <v>1999</v>
      </c>
      <c r="I95" s="2">
        <v>5997</v>
      </c>
      <c r="J95" s="2" t="str">
        <f t="shared" si="2"/>
        <v>Feb</v>
      </c>
      <c r="K95" s="4">
        <f t="shared" si="3"/>
        <v>2024</v>
      </c>
    </row>
    <row r="96" spans="1:11" x14ac:dyDescent="0.3">
      <c r="A96" s="4" t="s">
        <v>138</v>
      </c>
      <c r="B96" s="8">
        <v>45338</v>
      </c>
      <c r="C96" s="4" t="s">
        <v>57</v>
      </c>
      <c r="D96" s="4" t="s">
        <v>31</v>
      </c>
      <c r="E96" s="4" t="s">
        <v>17</v>
      </c>
      <c r="F96" s="4" t="s">
        <v>32</v>
      </c>
      <c r="G96" s="4">
        <v>4</v>
      </c>
      <c r="H96" s="2">
        <v>1299</v>
      </c>
      <c r="I96" s="2">
        <v>5196</v>
      </c>
      <c r="J96" s="2" t="str">
        <f t="shared" si="2"/>
        <v>Feb</v>
      </c>
      <c r="K96" s="4">
        <f t="shared" si="3"/>
        <v>2024</v>
      </c>
    </row>
    <row r="97" spans="1:11" x14ac:dyDescent="0.3">
      <c r="A97" s="4" t="s">
        <v>139</v>
      </c>
      <c r="B97" s="8">
        <v>45338</v>
      </c>
      <c r="C97" s="4" t="s">
        <v>45</v>
      </c>
      <c r="D97" s="4" t="s">
        <v>16</v>
      </c>
      <c r="E97" s="4" t="s">
        <v>35</v>
      </c>
      <c r="F97" s="4" t="s">
        <v>47</v>
      </c>
      <c r="G97" s="4">
        <v>3</v>
      </c>
      <c r="H97" s="2">
        <v>5499</v>
      </c>
      <c r="I97" s="2">
        <v>16497</v>
      </c>
      <c r="J97" s="2" t="str">
        <f t="shared" si="2"/>
        <v>Feb</v>
      </c>
      <c r="K97" s="4">
        <f t="shared" si="3"/>
        <v>2024</v>
      </c>
    </row>
    <row r="98" spans="1:11" x14ac:dyDescent="0.3">
      <c r="A98" s="4" t="s">
        <v>140</v>
      </c>
      <c r="B98" s="8">
        <v>45338</v>
      </c>
      <c r="C98" s="4" t="s">
        <v>15</v>
      </c>
      <c r="D98" s="4" t="s">
        <v>16</v>
      </c>
      <c r="E98" s="4" t="s">
        <v>35</v>
      </c>
      <c r="F98" s="4" t="s">
        <v>25</v>
      </c>
      <c r="G98" s="4">
        <v>6</v>
      </c>
      <c r="H98" s="2">
        <v>1999</v>
      </c>
      <c r="I98" s="2">
        <v>11994</v>
      </c>
      <c r="J98" s="2" t="str">
        <f t="shared" si="2"/>
        <v>Feb</v>
      </c>
      <c r="K98" s="4">
        <f t="shared" si="3"/>
        <v>2024</v>
      </c>
    </row>
    <row r="99" spans="1:11" x14ac:dyDescent="0.3">
      <c r="A99" s="4" t="s">
        <v>141</v>
      </c>
      <c r="B99" s="8">
        <v>45339</v>
      </c>
      <c r="C99" s="4" t="s">
        <v>72</v>
      </c>
      <c r="D99" s="4" t="s">
        <v>16</v>
      </c>
      <c r="E99" s="4" t="s">
        <v>24</v>
      </c>
      <c r="F99" s="4" t="s">
        <v>21</v>
      </c>
      <c r="G99" s="4">
        <v>5</v>
      </c>
      <c r="H99" s="2">
        <v>1799</v>
      </c>
      <c r="I99" s="2">
        <v>8995</v>
      </c>
      <c r="J99" s="2" t="str">
        <f t="shared" si="2"/>
        <v>Feb</v>
      </c>
      <c r="K99" s="4">
        <f t="shared" si="3"/>
        <v>2024</v>
      </c>
    </row>
    <row r="100" spans="1:11" x14ac:dyDescent="0.3">
      <c r="A100" s="4" t="s">
        <v>142</v>
      </c>
      <c r="B100" s="8">
        <v>45341</v>
      </c>
      <c r="C100" s="4" t="s">
        <v>34</v>
      </c>
      <c r="D100" s="4" t="s">
        <v>28</v>
      </c>
      <c r="E100" s="4" t="s">
        <v>12</v>
      </c>
      <c r="F100" s="4" t="s">
        <v>18</v>
      </c>
      <c r="G100" s="4">
        <v>3</v>
      </c>
      <c r="H100" s="2">
        <v>799</v>
      </c>
      <c r="I100" s="2">
        <v>2397</v>
      </c>
      <c r="J100" s="2" t="str">
        <f t="shared" si="2"/>
        <v>Feb</v>
      </c>
      <c r="K100" s="4">
        <f t="shared" si="3"/>
        <v>2024</v>
      </c>
    </row>
    <row r="101" spans="1:11" x14ac:dyDescent="0.3">
      <c r="A101" s="4" t="s">
        <v>143</v>
      </c>
      <c r="B101" s="8">
        <v>45342</v>
      </c>
      <c r="C101" s="4" t="s">
        <v>27</v>
      </c>
      <c r="D101" s="4" t="s">
        <v>28</v>
      </c>
      <c r="E101" s="4" t="s">
        <v>17</v>
      </c>
      <c r="F101" s="4" t="s">
        <v>21</v>
      </c>
      <c r="G101" s="4">
        <v>3</v>
      </c>
      <c r="H101" s="2">
        <v>3499</v>
      </c>
      <c r="I101" s="2">
        <v>10497</v>
      </c>
      <c r="J101" s="2" t="str">
        <f t="shared" si="2"/>
        <v>Feb</v>
      </c>
      <c r="K101" s="4">
        <f t="shared" si="3"/>
        <v>2024</v>
      </c>
    </row>
    <row r="102" spans="1:11" x14ac:dyDescent="0.3">
      <c r="A102" s="4" t="s">
        <v>144</v>
      </c>
      <c r="B102" s="8">
        <v>45343</v>
      </c>
      <c r="C102" s="4" t="s">
        <v>27</v>
      </c>
      <c r="D102" s="4" t="s">
        <v>28</v>
      </c>
      <c r="E102" s="4" t="s">
        <v>12</v>
      </c>
      <c r="F102" s="4" t="s">
        <v>25</v>
      </c>
      <c r="G102" s="4">
        <v>3</v>
      </c>
      <c r="H102" s="2">
        <v>3499</v>
      </c>
      <c r="I102" s="2">
        <v>10497</v>
      </c>
      <c r="J102" s="2" t="str">
        <f t="shared" si="2"/>
        <v>Feb</v>
      </c>
      <c r="K102" s="4">
        <f t="shared" si="3"/>
        <v>2024</v>
      </c>
    </row>
    <row r="103" spans="1:11" x14ac:dyDescent="0.3">
      <c r="A103" s="4" t="s">
        <v>145</v>
      </c>
      <c r="B103" s="8">
        <v>45344</v>
      </c>
      <c r="C103" s="4" t="s">
        <v>86</v>
      </c>
      <c r="D103" s="4" t="s">
        <v>28</v>
      </c>
      <c r="E103" s="4" t="s">
        <v>35</v>
      </c>
      <c r="F103" s="4" t="s">
        <v>32</v>
      </c>
      <c r="G103" s="4">
        <v>5</v>
      </c>
      <c r="H103" s="2">
        <v>899</v>
      </c>
      <c r="I103" s="2">
        <v>4495</v>
      </c>
      <c r="J103" s="2" t="str">
        <f t="shared" si="2"/>
        <v>Feb</v>
      </c>
      <c r="K103" s="4">
        <f t="shared" si="3"/>
        <v>2024</v>
      </c>
    </row>
    <row r="104" spans="1:11" x14ac:dyDescent="0.3">
      <c r="A104" s="4" t="s">
        <v>146</v>
      </c>
      <c r="B104" s="8">
        <v>45345</v>
      </c>
      <c r="C104" s="4" t="s">
        <v>50</v>
      </c>
      <c r="D104" s="4" t="s">
        <v>41</v>
      </c>
      <c r="E104" s="4" t="s">
        <v>12</v>
      </c>
      <c r="F104" s="4" t="s">
        <v>32</v>
      </c>
      <c r="G104" s="4">
        <v>8</v>
      </c>
      <c r="H104" s="2">
        <v>999</v>
      </c>
      <c r="I104" s="2">
        <v>7992</v>
      </c>
      <c r="J104" s="2" t="str">
        <f t="shared" si="2"/>
        <v>Feb</v>
      </c>
      <c r="K104" s="4">
        <f t="shared" si="3"/>
        <v>2024</v>
      </c>
    </row>
    <row r="105" spans="1:11" x14ac:dyDescent="0.3">
      <c r="A105" s="4" t="s">
        <v>147</v>
      </c>
      <c r="B105" s="8">
        <v>45345</v>
      </c>
      <c r="C105" s="4" t="s">
        <v>37</v>
      </c>
      <c r="D105" s="4" t="s">
        <v>16</v>
      </c>
      <c r="E105" s="4" t="s">
        <v>12</v>
      </c>
      <c r="F105" s="4" t="s">
        <v>18</v>
      </c>
      <c r="G105" s="4">
        <v>3</v>
      </c>
      <c r="H105" s="2">
        <v>899</v>
      </c>
      <c r="I105" s="2">
        <v>2697</v>
      </c>
      <c r="J105" s="2" t="str">
        <f t="shared" si="2"/>
        <v>Feb</v>
      </c>
      <c r="K105" s="4">
        <f t="shared" si="3"/>
        <v>2024</v>
      </c>
    </row>
    <row r="106" spans="1:11" x14ac:dyDescent="0.3">
      <c r="A106" s="4" t="s">
        <v>148</v>
      </c>
      <c r="B106" s="8">
        <v>45347</v>
      </c>
      <c r="C106" s="4" t="s">
        <v>50</v>
      </c>
      <c r="D106" s="4" t="s">
        <v>41</v>
      </c>
      <c r="E106" s="4" t="s">
        <v>24</v>
      </c>
      <c r="F106" s="4" t="s">
        <v>18</v>
      </c>
      <c r="G106" s="4">
        <v>4</v>
      </c>
      <c r="H106" s="2">
        <v>999</v>
      </c>
      <c r="I106" s="2">
        <v>3996</v>
      </c>
      <c r="J106" s="2" t="str">
        <f t="shared" si="2"/>
        <v>Feb</v>
      </c>
      <c r="K106" s="4">
        <f t="shared" si="3"/>
        <v>2024</v>
      </c>
    </row>
    <row r="107" spans="1:11" x14ac:dyDescent="0.3">
      <c r="A107" s="4" t="s">
        <v>149</v>
      </c>
      <c r="B107" s="8">
        <v>45347</v>
      </c>
      <c r="C107" s="4" t="s">
        <v>40</v>
      </c>
      <c r="D107" s="4" t="s">
        <v>41</v>
      </c>
      <c r="E107" s="4" t="s">
        <v>17</v>
      </c>
      <c r="F107" s="4" t="s">
        <v>32</v>
      </c>
      <c r="G107" s="4">
        <v>1</v>
      </c>
      <c r="H107" s="2">
        <v>2089.0500000000002</v>
      </c>
      <c r="I107" s="2">
        <v>2089.0500000000002</v>
      </c>
      <c r="J107" s="2" t="str">
        <f t="shared" si="2"/>
        <v>Feb</v>
      </c>
      <c r="K107" s="4">
        <f t="shared" si="3"/>
        <v>2024</v>
      </c>
    </row>
    <row r="108" spans="1:11" x14ac:dyDescent="0.3">
      <c r="A108" s="4" t="s">
        <v>150</v>
      </c>
      <c r="B108" s="8">
        <v>45347</v>
      </c>
      <c r="C108" s="4" t="s">
        <v>107</v>
      </c>
      <c r="D108" s="4" t="s">
        <v>31</v>
      </c>
      <c r="E108" s="4" t="s">
        <v>12</v>
      </c>
      <c r="F108" s="4" t="s">
        <v>21</v>
      </c>
      <c r="G108" s="4">
        <v>5</v>
      </c>
      <c r="H108" s="2">
        <v>3299</v>
      </c>
      <c r="I108" s="2">
        <v>16495</v>
      </c>
      <c r="J108" s="2" t="str">
        <f t="shared" si="2"/>
        <v>Feb</v>
      </c>
      <c r="K108" s="4">
        <f t="shared" si="3"/>
        <v>2024</v>
      </c>
    </row>
    <row r="109" spans="1:11" x14ac:dyDescent="0.3">
      <c r="A109" s="4" t="s">
        <v>151</v>
      </c>
      <c r="B109" s="8">
        <v>45347</v>
      </c>
      <c r="C109" s="4" t="s">
        <v>72</v>
      </c>
      <c r="D109" s="4" t="s">
        <v>16</v>
      </c>
      <c r="E109" s="4" t="s">
        <v>35</v>
      </c>
      <c r="F109" s="4" t="s">
        <v>13</v>
      </c>
      <c r="G109" s="4">
        <v>3</v>
      </c>
      <c r="H109" s="2">
        <v>1799</v>
      </c>
      <c r="I109" s="2">
        <v>5397</v>
      </c>
      <c r="J109" s="2" t="str">
        <f t="shared" si="2"/>
        <v>Feb</v>
      </c>
      <c r="K109" s="4">
        <f t="shared" si="3"/>
        <v>2024</v>
      </c>
    </row>
    <row r="110" spans="1:11" x14ac:dyDescent="0.3">
      <c r="A110" s="4" t="s">
        <v>152</v>
      </c>
      <c r="B110" s="8">
        <v>45350</v>
      </c>
      <c r="C110" s="4" t="s">
        <v>57</v>
      </c>
      <c r="D110" s="4" t="s">
        <v>31</v>
      </c>
      <c r="E110" s="4" t="s">
        <v>12</v>
      </c>
      <c r="F110" s="4" t="s">
        <v>32</v>
      </c>
      <c r="G110" s="4">
        <v>2</v>
      </c>
      <c r="H110" s="2">
        <v>1299</v>
      </c>
      <c r="I110" s="2">
        <v>2598</v>
      </c>
      <c r="J110" s="2" t="str">
        <f t="shared" si="2"/>
        <v>Feb</v>
      </c>
      <c r="K110" s="4">
        <f t="shared" si="3"/>
        <v>2024</v>
      </c>
    </row>
    <row r="111" spans="1:11" x14ac:dyDescent="0.3">
      <c r="A111" s="4" t="s">
        <v>153</v>
      </c>
      <c r="B111" s="8">
        <v>45352</v>
      </c>
      <c r="C111" s="4" t="s">
        <v>59</v>
      </c>
      <c r="D111" s="4" t="s">
        <v>41</v>
      </c>
      <c r="E111" s="4" t="s">
        <v>35</v>
      </c>
      <c r="F111" s="4" t="s">
        <v>13</v>
      </c>
      <c r="G111" s="4">
        <v>2</v>
      </c>
      <c r="H111" s="2">
        <v>1274.1500000000001</v>
      </c>
      <c r="I111" s="2">
        <v>2548.3000000000002</v>
      </c>
      <c r="J111" s="2" t="str">
        <f t="shared" si="2"/>
        <v>Mar</v>
      </c>
      <c r="K111" s="4">
        <f t="shared" si="3"/>
        <v>2024</v>
      </c>
    </row>
    <row r="112" spans="1:11" x14ac:dyDescent="0.3">
      <c r="A112" s="4" t="s">
        <v>154</v>
      </c>
      <c r="B112" s="8">
        <v>45352</v>
      </c>
      <c r="C112" s="4" t="s">
        <v>50</v>
      </c>
      <c r="D112" s="4" t="s">
        <v>41</v>
      </c>
      <c r="E112" s="4" t="s">
        <v>24</v>
      </c>
      <c r="F112" s="4" t="s">
        <v>13</v>
      </c>
      <c r="G112" s="4">
        <v>3</v>
      </c>
      <c r="H112" s="2">
        <v>999</v>
      </c>
      <c r="I112" s="2">
        <v>2997</v>
      </c>
      <c r="J112" s="2" t="str">
        <f t="shared" si="2"/>
        <v>Mar</v>
      </c>
      <c r="K112" s="4">
        <f t="shared" si="3"/>
        <v>2024</v>
      </c>
    </row>
    <row r="113" spans="1:11" x14ac:dyDescent="0.3">
      <c r="A113" s="4" t="s">
        <v>155</v>
      </c>
      <c r="B113" s="8">
        <v>45352</v>
      </c>
      <c r="C113" s="4" t="s">
        <v>50</v>
      </c>
      <c r="D113" s="4" t="s">
        <v>41</v>
      </c>
      <c r="E113" s="4" t="s">
        <v>12</v>
      </c>
      <c r="F113" s="4" t="s">
        <v>47</v>
      </c>
      <c r="G113" s="4">
        <v>7</v>
      </c>
      <c r="H113" s="2">
        <v>899.1</v>
      </c>
      <c r="I113" s="2">
        <v>6293.7</v>
      </c>
      <c r="J113" s="2" t="str">
        <f t="shared" si="2"/>
        <v>Mar</v>
      </c>
      <c r="K113" s="4">
        <f t="shared" si="3"/>
        <v>2024</v>
      </c>
    </row>
    <row r="114" spans="1:11" x14ac:dyDescent="0.3">
      <c r="A114" s="4" t="s">
        <v>156</v>
      </c>
      <c r="B114" s="8">
        <v>45353</v>
      </c>
      <c r="C114" s="4" t="s">
        <v>107</v>
      </c>
      <c r="D114" s="4" t="s">
        <v>31</v>
      </c>
      <c r="E114" s="4" t="s">
        <v>24</v>
      </c>
      <c r="F114" s="4" t="s">
        <v>47</v>
      </c>
      <c r="G114" s="4">
        <v>6</v>
      </c>
      <c r="H114" s="2">
        <v>3299</v>
      </c>
      <c r="I114" s="2">
        <v>19794</v>
      </c>
      <c r="J114" s="2" t="str">
        <f t="shared" si="2"/>
        <v>Mar</v>
      </c>
      <c r="K114" s="4">
        <f t="shared" si="3"/>
        <v>2024</v>
      </c>
    </row>
    <row r="115" spans="1:11" x14ac:dyDescent="0.3">
      <c r="A115" s="4" t="s">
        <v>157</v>
      </c>
      <c r="B115" s="8">
        <v>45353</v>
      </c>
      <c r="C115" s="4" t="s">
        <v>37</v>
      </c>
      <c r="D115" s="4" t="s">
        <v>16</v>
      </c>
      <c r="E115" s="4" t="s">
        <v>35</v>
      </c>
      <c r="F115" s="4" t="s">
        <v>21</v>
      </c>
      <c r="G115" s="4">
        <v>3</v>
      </c>
      <c r="H115" s="2">
        <v>899</v>
      </c>
      <c r="I115" s="2">
        <v>2697</v>
      </c>
      <c r="J115" s="2" t="str">
        <f t="shared" si="2"/>
        <v>Mar</v>
      </c>
      <c r="K115" s="4">
        <f t="shared" si="3"/>
        <v>2024</v>
      </c>
    </row>
    <row r="116" spans="1:11" x14ac:dyDescent="0.3">
      <c r="A116" s="4" t="s">
        <v>158</v>
      </c>
      <c r="B116" s="8">
        <v>45353</v>
      </c>
      <c r="C116" s="4" t="s">
        <v>50</v>
      </c>
      <c r="D116" s="4" t="s">
        <v>41</v>
      </c>
      <c r="E116" s="4" t="s">
        <v>12</v>
      </c>
      <c r="F116" s="4" t="s">
        <v>32</v>
      </c>
      <c r="G116" s="4">
        <v>5</v>
      </c>
      <c r="H116" s="2">
        <v>999</v>
      </c>
      <c r="I116" s="2">
        <v>4995</v>
      </c>
      <c r="J116" s="2" t="str">
        <f t="shared" si="2"/>
        <v>Mar</v>
      </c>
      <c r="K116" s="4">
        <f t="shared" si="3"/>
        <v>2024</v>
      </c>
    </row>
    <row r="117" spans="1:11" x14ac:dyDescent="0.3">
      <c r="A117" s="4" t="s">
        <v>159</v>
      </c>
      <c r="B117" s="8">
        <v>45354</v>
      </c>
      <c r="C117" s="4" t="s">
        <v>64</v>
      </c>
      <c r="D117" s="4" t="s">
        <v>41</v>
      </c>
      <c r="E117" s="4" t="s">
        <v>17</v>
      </c>
      <c r="F117" s="4" t="s">
        <v>32</v>
      </c>
      <c r="G117" s="4">
        <v>6</v>
      </c>
      <c r="H117" s="2">
        <v>1799</v>
      </c>
      <c r="I117" s="2">
        <v>10794</v>
      </c>
      <c r="J117" s="2" t="str">
        <f t="shared" si="2"/>
        <v>Mar</v>
      </c>
      <c r="K117" s="4">
        <f t="shared" si="3"/>
        <v>2024</v>
      </c>
    </row>
    <row r="118" spans="1:11" x14ac:dyDescent="0.3">
      <c r="A118" s="4" t="s">
        <v>160</v>
      </c>
      <c r="B118" s="8">
        <v>45354</v>
      </c>
      <c r="C118" s="4" t="s">
        <v>30</v>
      </c>
      <c r="D118" s="4" t="s">
        <v>31</v>
      </c>
      <c r="E118" s="4" t="s">
        <v>17</v>
      </c>
      <c r="F118" s="4" t="s">
        <v>25</v>
      </c>
      <c r="G118" s="4">
        <v>3</v>
      </c>
      <c r="H118" s="2">
        <v>4499</v>
      </c>
      <c r="I118" s="2">
        <v>13497</v>
      </c>
      <c r="J118" s="2" t="str">
        <f t="shared" si="2"/>
        <v>Mar</v>
      </c>
      <c r="K118" s="4">
        <f t="shared" si="3"/>
        <v>2024</v>
      </c>
    </row>
    <row r="119" spans="1:11" x14ac:dyDescent="0.3">
      <c r="A119" s="4" t="s">
        <v>161</v>
      </c>
      <c r="B119" s="8">
        <v>45356</v>
      </c>
      <c r="C119" s="4" t="s">
        <v>64</v>
      </c>
      <c r="D119" s="4" t="s">
        <v>41</v>
      </c>
      <c r="E119" s="4" t="s">
        <v>24</v>
      </c>
      <c r="F119" s="4" t="s">
        <v>47</v>
      </c>
      <c r="G119" s="4">
        <v>6</v>
      </c>
      <c r="H119" s="2">
        <v>1709.05</v>
      </c>
      <c r="I119" s="2">
        <v>10254.299999999999</v>
      </c>
      <c r="J119" s="2" t="str">
        <f t="shared" si="2"/>
        <v>Mar</v>
      </c>
      <c r="K119" s="4">
        <f t="shared" si="3"/>
        <v>2024</v>
      </c>
    </row>
    <row r="120" spans="1:11" x14ac:dyDescent="0.3">
      <c r="A120" s="4" t="s">
        <v>162</v>
      </c>
      <c r="B120" s="8">
        <v>45357</v>
      </c>
      <c r="C120" s="4" t="s">
        <v>52</v>
      </c>
      <c r="D120" s="4" t="s">
        <v>31</v>
      </c>
      <c r="E120" s="4" t="s">
        <v>24</v>
      </c>
      <c r="F120" s="4" t="s">
        <v>13</v>
      </c>
      <c r="G120" s="4">
        <v>1</v>
      </c>
      <c r="H120" s="2">
        <v>3999</v>
      </c>
      <c r="I120" s="2">
        <v>3999</v>
      </c>
      <c r="J120" s="2" t="str">
        <f t="shared" si="2"/>
        <v>Mar</v>
      </c>
      <c r="K120" s="4">
        <f t="shared" si="3"/>
        <v>2024</v>
      </c>
    </row>
    <row r="121" spans="1:11" x14ac:dyDescent="0.3">
      <c r="A121" s="4" t="s">
        <v>163</v>
      </c>
      <c r="B121" s="8">
        <v>45358</v>
      </c>
      <c r="C121" s="4" t="s">
        <v>23</v>
      </c>
      <c r="D121" s="4" t="s">
        <v>16</v>
      </c>
      <c r="E121" s="4" t="s">
        <v>12</v>
      </c>
      <c r="F121" s="4" t="s">
        <v>32</v>
      </c>
      <c r="G121" s="4">
        <v>1</v>
      </c>
      <c r="H121" s="2">
        <v>2499</v>
      </c>
      <c r="I121" s="2">
        <v>2499</v>
      </c>
      <c r="J121" s="2" t="str">
        <f t="shared" si="2"/>
        <v>Mar</v>
      </c>
      <c r="K121" s="4">
        <f t="shared" si="3"/>
        <v>2024</v>
      </c>
    </row>
    <row r="122" spans="1:11" x14ac:dyDescent="0.3">
      <c r="A122" s="4" t="s">
        <v>164</v>
      </c>
      <c r="B122" s="8">
        <v>45359</v>
      </c>
      <c r="C122" s="4" t="s">
        <v>70</v>
      </c>
      <c r="D122" s="4" t="s">
        <v>28</v>
      </c>
      <c r="E122" s="4" t="s">
        <v>24</v>
      </c>
      <c r="F122" s="4" t="s">
        <v>13</v>
      </c>
      <c r="G122" s="4">
        <v>3</v>
      </c>
      <c r="H122" s="2">
        <v>1079.0999999999999</v>
      </c>
      <c r="I122" s="2">
        <v>3237.3</v>
      </c>
      <c r="J122" s="2" t="str">
        <f t="shared" si="2"/>
        <v>Mar</v>
      </c>
      <c r="K122" s="4">
        <f t="shared" si="3"/>
        <v>2024</v>
      </c>
    </row>
    <row r="123" spans="1:11" x14ac:dyDescent="0.3">
      <c r="A123" s="4" t="s">
        <v>165</v>
      </c>
      <c r="B123" s="8">
        <v>45360</v>
      </c>
      <c r="C123" s="4" t="s">
        <v>23</v>
      </c>
      <c r="D123" s="4" t="s">
        <v>16</v>
      </c>
      <c r="E123" s="4" t="s">
        <v>24</v>
      </c>
      <c r="F123" s="4" t="s">
        <v>25</v>
      </c>
      <c r="G123" s="4">
        <v>3</v>
      </c>
      <c r="H123" s="2">
        <v>2499</v>
      </c>
      <c r="I123" s="2">
        <v>7497</v>
      </c>
      <c r="J123" s="2" t="str">
        <f t="shared" si="2"/>
        <v>Mar</v>
      </c>
      <c r="K123" s="4">
        <f t="shared" si="3"/>
        <v>2024</v>
      </c>
    </row>
    <row r="124" spans="1:11" x14ac:dyDescent="0.3">
      <c r="A124" s="4" t="s">
        <v>166</v>
      </c>
      <c r="B124" s="8">
        <v>45360</v>
      </c>
      <c r="C124" s="4" t="s">
        <v>59</v>
      </c>
      <c r="D124" s="4" t="s">
        <v>41</v>
      </c>
      <c r="E124" s="4" t="s">
        <v>12</v>
      </c>
      <c r="F124" s="4" t="s">
        <v>32</v>
      </c>
      <c r="G124" s="4">
        <v>3</v>
      </c>
      <c r="H124" s="2">
        <v>1499</v>
      </c>
      <c r="I124" s="2">
        <v>4497</v>
      </c>
      <c r="J124" s="2" t="str">
        <f t="shared" si="2"/>
        <v>Mar</v>
      </c>
      <c r="K124" s="4">
        <f t="shared" si="3"/>
        <v>2024</v>
      </c>
    </row>
    <row r="125" spans="1:11" x14ac:dyDescent="0.3">
      <c r="A125" s="4" t="s">
        <v>167</v>
      </c>
      <c r="B125" s="8">
        <v>45361</v>
      </c>
      <c r="C125" s="4" t="s">
        <v>86</v>
      </c>
      <c r="D125" s="4" t="s">
        <v>28</v>
      </c>
      <c r="E125" s="4" t="s">
        <v>24</v>
      </c>
      <c r="F125" s="4" t="s">
        <v>13</v>
      </c>
      <c r="G125" s="4">
        <v>5</v>
      </c>
      <c r="H125" s="2">
        <v>899</v>
      </c>
      <c r="I125" s="2">
        <v>4495</v>
      </c>
      <c r="J125" s="2" t="str">
        <f t="shared" si="2"/>
        <v>Mar</v>
      </c>
      <c r="K125" s="4">
        <f t="shared" si="3"/>
        <v>2024</v>
      </c>
    </row>
    <row r="126" spans="1:11" x14ac:dyDescent="0.3">
      <c r="A126" s="4" t="s">
        <v>168</v>
      </c>
      <c r="B126" s="8">
        <v>45361</v>
      </c>
      <c r="C126" s="4" t="s">
        <v>52</v>
      </c>
      <c r="D126" s="4" t="s">
        <v>31</v>
      </c>
      <c r="E126" s="4" t="s">
        <v>35</v>
      </c>
      <c r="F126" s="4" t="s">
        <v>32</v>
      </c>
      <c r="G126" s="4">
        <v>1</v>
      </c>
      <c r="H126" s="2">
        <v>3999</v>
      </c>
      <c r="I126" s="2">
        <v>3999</v>
      </c>
      <c r="J126" s="2" t="str">
        <f t="shared" si="2"/>
        <v>Mar</v>
      </c>
      <c r="K126" s="4">
        <f t="shared" si="3"/>
        <v>2024</v>
      </c>
    </row>
    <row r="127" spans="1:11" x14ac:dyDescent="0.3">
      <c r="A127" s="4" t="s">
        <v>169</v>
      </c>
      <c r="B127" s="8">
        <v>45361</v>
      </c>
      <c r="C127" s="4" t="s">
        <v>52</v>
      </c>
      <c r="D127" s="4" t="s">
        <v>31</v>
      </c>
      <c r="E127" s="4" t="s">
        <v>24</v>
      </c>
      <c r="F127" s="4" t="s">
        <v>13</v>
      </c>
      <c r="G127" s="4">
        <v>5</v>
      </c>
      <c r="H127" s="2">
        <v>3999</v>
      </c>
      <c r="I127" s="2">
        <v>19995</v>
      </c>
      <c r="J127" s="2" t="str">
        <f t="shared" si="2"/>
        <v>Mar</v>
      </c>
      <c r="K127" s="4">
        <f t="shared" si="3"/>
        <v>2024</v>
      </c>
    </row>
    <row r="128" spans="1:11" x14ac:dyDescent="0.3">
      <c r="A128" s="4" t="s">
        <v>170</v>
      </c>
      <c r="B128" s="8">
        <v>45363</v>
      </c>
      <c r="C128" s="4" t="s">
        <v>59</v>
      </c>
      <c r="D128" s="4" t="s">
        <v>41</v>
      </c>
      <c r="E128" s="4" t="s">
        <v>12</v>
      </c>
      <c r="F128" s="4" t="s">
        <v>47</v>
      </c>
      <c r="G128" s="4">
        <v>4</v>
      </c>
      <c r="H128" s="2">
        <v>1499</v>
      </c>
      <c r="I128" s="2">
        <v>5996</v>
      </c>
      <c r="J128" s="2" t="str">
        <f t="shared" si="2"/>
        <v>Mar</v>
      </c>
      <c r="K128" s="4">
        <f t="shared" si="3"/>
        <v>2024</v>
      </c>
    </row>
    <row r="129" spans="1:11" x14ac:dyDescent="0.3">
      <c r="A129" s="4" t="s">
        <v>171</v>
      </c>
      <c r="B129" s="8">
        <v>45364</v>
      </c>
      <c r="C129" s="4" t="s">
        <v>70</v>
      </c>
      <c r="D129" s="4" t="s">
        <v>28</v>
      </c>
      <c r="E129" s="4" t="s">
        <v>12</v>
      </c>
      <c r="F129" s="4" t="s">
        <v>25</v>
      </c>
      <c r="G129" s="4">
        <v>5</v>
      </c>
      <c r="H129" s="2">
        <v>1139.05</v>
      </c>
      <c r="I129" s="2">
        <v>5695.25</v>
      </c>
      <c r="J129" s="2" t="str">
        <f t="shared" si="2"/>
        <v>Mar</v>
      </c>
      <c r="K129" s="4">
        <f t="shared" si="3"/>
        <v>2024</v>
      </c>
    </row>
    <row r="130" spans="1:11" x14ac:dyDescent="0.3">
      <c r="A130" s="4" t="s">
        <v>172</v>
      </c>
      <c r="B130" s="8">
        <v>45364</v>
      </c>
      <c r="C130" s="4" t="s">
        <v>70</v>
      </c>
      <c r="D130" s="4" t="s">
        <v>28</v>
      </c>
      <c r="E130" s="4" t="s">
        <v>12</v>
      </c>
      <c r="F130" s="4" t="s">
        <v>47</v>
      </c>
      <c r="G130" s="4">
        <v>3</v>
      </c>
      <c r="H130" s="2">
        <v>1199</v>
      </c>
      <c r="I130" s="2">
        <v>3597</v>
      </c>
      <c r="J130" s="2" t="str">
        <f t="shared" ref="J130:J193" si="4">TEXT(B130,"mmm")</f>
        <v>Mar</v>
      </c>
      <c r="K130" s="4">
        <f t="shared" ref="K130:K193" si="5">YEAR(B130)</f>
        <v>2024</v>
      </c>
    </row>
    <row r="131" spans="1:11" x14ac:dyDescent="0.3">
      <c r="A131" s="4" t="s">
        <v>173</v>
      </c>
      <c r="B131" s="8">
        <v>45364</v>
      </c>
      <c r="C131" s="4" t="s">
        <v>107</v>
      </c>
      <c r="D131" s="4" t="s">
        <v>31</v>
      </c>
      <c r="E131" s="4" t="s">
        <v>35</v>
      </c>
      <c r="F131" s="4" t="s">
        <v>25</v>
      </c>
      <c r="G131" s="4">
        <v>4</v>
      </c>
      <c r="H131" s="2">
        <v>3134.05</v>
      </c>
      <c r="I131" s="2">
        <v>12536.2</v>
      </c>
      <c r="J131" s="2" t="str">
        <f t="shared" si="4"/>
        <v>Mar</v>
      </c>
      <c r="K131" s="4">
        <f t="shared" si="5"/>
        <v>2024</v>
      </c>
    </row>
    <row r="132" spans="1:11" x14ac:dyDescent="0.3">
      <c r="A132" s="4" t="s">
        <v>174</v>
      </c>
      <c r="B132" s="8">
        <v>45365</v>
      </c>
      <c r="C132" s="4" t="s">
        <v>52</v>
      </c>
      <c r="D132" s="4" t="s">
        <v>31</v>
      </c>
      <c r="E132" s="4" t="s">
        <v>17</v>
      </c>
      <c r="F132" s="4" t="s">
        <v>25</v>
      </c>
      <c r="G132" s="4">
        <v>3</v>
      </c>
      <c r="H132" s="2">
        <v>3799.05</v>
      </c>
      <c r="I132" s="2">
        <v>11397.15</v>
      </c>
      <c r="J132" s="2" t="str">
        <f t="shared" si="4"/>
        <v>Mar</v>
      </c>
      <c r="K132" s="4">
        <f t="shared" si="5"/>
        <v>2024</v>
      </c>
    </row>
    <row r="133" spans="1:11" x14ac:dyDescent="0.3">
      <c r="A133" s="4" t="s">
        <v>175</v>
      </c>
      <c r="B133" s="8">
        <v>45365</v>
      </c>
      <c r="C133" s="4" t="s">
        <v>40</v>
      </c>
      <c r="D133" s="4" t="s">
        <v>41</v>
      </c>
      <c r="E133" s="4" t="s">
        <v>12</v>
      </c>
      <c r="F133" s="4" t="s">
        <v>13</v>
      </c>
      <c r="G133" s="4">
        <v>8</v>
      </c>
      <c r="H133" s="2">
        <v>1979.1</v>
      </c>
      <c r="I133" s="2">
        <v>15832.8</v>
      </c>
      <c r="J133" s="2" t="str">
        <f t="shared" si="4"/>
        <v>Mar</v>
      </c>
      <c r="K133" s="4">
        <f t="shared" si="5"/>
        <v>2024</v>
      </c>
    </row>
    <row r="134" spans="1:11" x14ac:dyDescent="0.3">
      <c r="A134" s="4" t="s">
        <v>176</v>
      </c>
      <c r="B134" s="8">
        <v>45366</v>
      </c>
      <c r="C134" s="4" t="s">
        <v>57</v>
      </c>
      <c r="D134" s="4" t="s">
        <v>31</v>
      </c>
      <c r="E134" s="4" t="s">
        <v>12</v>
      </c>
      <c r="F134" s="4" t="s">
        <v>32</v>
      </c>
      <c r="G134" s="4">
        <v>1</v>
      </c>
      <c r="H134" s="2">
        <v>1104.1500000000001</v>
      </c>
      <c r="I134" s="2">
        <v>1104.1500000000001</v>
      </c>
      <c r="J134" s="2" t="str">
        <f t="shared" si="4"/>
        <v>Mar</v>
      </c>
      <c r="K134" s="4">
        <f t="shared" si="5"/>
        <v>2024</v>
      </c>
    </row>
    <row r="135" spans="1:11" x14ac:dyDescent="0.3">
      <c r="A135" s="4" t="s">
        <v>177</v>
      </c>
      <c r="B135" s="8">
        <v>45366</v>
      </c>
      <c r="C135" s="4" t="s">
        <v>52</v>
      </c>
      <c r="D135" s="4" t="s">
        <v>31</v>
      </c>
      <c r="E135" s="4" t="s">
        <v>35</v>
      </c>
      <c r="F135" s="4" t="s">
        <v>18</v>
      </c>
      <c r="G135" s="4">
        <v>6</v>
      </c>
      <c r="H135" s="2">
        <v>3799.05</v>
      </c>
      <c r="I135" s="2">
        <v>22794.3</v>
      </c>
      <c r="J135" s="2" t="str">
        <f t="shared" si="4"/>
        <v>Mar</v>
      </c>
      <c r="K135" s="4">
        <f t="shared" si="5"/>
        <v>2024</v>
      </c>
    </row>
    <row r="136" spans="1:11" x14ac:dyDescent="0.3">
      <c r="A136" s="4" t="s">
        <v>178</v>
      </c>
      <c r="B136" s="8">
        <v>45367</v>
      </c>
      <c r="C136" s="4" t="s">
        <v>86</v>
      </c>
      <c r="D136" s="4" t="s">
        <v>28</v>
      </c>
      <c r="E136" s="4" t="s">
        <v>35</v>
      </c>
      <c r="F136" s="4" t="s">
        <v>18</v>
      </c>
      <c r="G136" s="4">
        <v>7</v>
      </c>
      <c r="H136" s="2">
        <v>899</v>
      </c>
      <c r="I136" s="2">
        <v>6293</v>
      </c>
      <c r="J136" s="2" t="str">
        <f t="shared" si="4"/>
        <v>Mar</v>
      </c>
      <c r="K136" s="4">
        <f t="shared" si="5"/>
        <v>2024</v>
      </c>
    </row>
    <row r="137" spans="1:11" x14ac:dyDescent="0.3">
      <c r="A137" s="4" t="s">
        <v>179</v>
      </c>
      <c r="B137" s="8">
        <v>45367</v>
      </c>
      <c r="C137" s="4" t="s">
        <v>50</v>
      </c>
      <c r="D137" s="4" t="s">
        <v>41</v>
      </c>
      <c r="E137" s="4" t="s">
        <v>24</v>
      </c>
      <c r="F137" s="4" t="s">
        <v>13</v>
      </c>
      <c r="G137" s="4">
        <v>1</v>
      </c>
      <c r="H137" s="2">
        <v>999</v>
      </c>
      <c r="I137" s="2">
        <v>999</v>
      </c>
      <c r="J137" s="2" t="str">
        <f t="shared" si="4"/>
        <v>Mar</v>
      </c>
      <c r="K137" s="4">
        <f t="shared" si="5"/>
        <v>2024</v>
      </c>
    </row>
    <row r="138" spans="1:11" x14ac:dyDescent="0.3">
      <c r="A138" s="4" t="s">
        <v>180</v>
      </c>
      <c r="B138" s="8">
        <v>45367</v>
      </c>
      <c r="C138" s="4" t="s">
        <v>27</v>
      </c>
      <c r="D138" s="4" t="s">
        <v>28</v>
      </c>
      <c r="E138" s="4" t="s">
        <v>35</v>
      </c>
      <c r="F138" s="4" t="s">
        <v>18</v>
      </c>
      <c r="G138" s="4">
        <v>3</v>
      </c>
      <c r="H138" s="2">
        <v>3499</v>
      </c>
      <c r="I138" s="2">
        <v>10497</v>
      </c>
      <c r="J138" s="2" t="str">
        <f t="shared" si="4"/>
        <v>Mar</v>
      </c>
      <c r="K138" s="4">
        <f t="shared" si="5"/>
        <v>2024</v>
      </c>
    </row>
    <row r="139" spans="1:11" x14ac:dyDescent="0.3">
      <c r="A139" s="4" t="s">
        <v>181</v>
      </c>
      <c r="B139" s="8">
        <v>45369</v>
      </c>
      <c r="C139" s="4" t="s">
        <v>64</v>
      </c>
      <c r="D139" s="4" t="s">
        <v>41</v>
      </c>
      <c r="E139" s="4" t="s">
        <v>35</v>
      </c>
      <c r="F139" s="4" t="s">
        <v>21</v>
      </c>
      <c r="G139" s="4">
        <v>1</v>
      </c>
      <c r="H139" s="2">
        <v>1799</v>
      </c>
      <c r="I139" s="2">
        <v>1799</v>
      </c>
      <c r="J139" s="2" t="str">
        <f t="shared" si="4"/>
        <v>Mar</v>
      </c>
      <c r="K139" s="4">
        <f t="shared" si="5"/>
        <v>2024</v>
      </c>
    </row>
    <row r="140" spans="1:11" x14ac:dyDescent="0.3">
      <c r="A140" s="4" t="s">
        <v>182</v>
      </c>
      <c r="B140" s="8">
        <v>45369</v>
      </c>
      <c r="C140" s="4" t="s">
        <v>45</v>
      </c>
      <c r="D140" s="4" t="s">
        <v>16</v>
      </c>
      <c r="E140" s="4" t="s">
        <v>12</v>
      </c>
      <c r="F140" s="4" t="s">
        <v>47</v>
      </c>
      <c r="G140" s="4">
        <v>1</v>
      </c>
      <c r="H140" s="2">
        <v>5499</v>
      </c>
      <c r="I140" s="2">
        <v>5499</v>
      </c>
      <c r="J140" s="2" t="str">
        <f t="shared" si="4"/>
        <v>Mar</v>
      </c>
      <c r="K140" s="4">
        <f t="shared" si="5"/>
        <v>2024</v>
      </c>
    </row>
    <row r="141" spans="1:11" x14ac:dyDescent="0.3">
      <c r="A141" s="4" t="s">
        <v>183</v>
      </c>
      <c r="B141" s="8">
        <v>45369</v>
      </c>
      <c r="C141" s="4" t="s">
        <v>64</v>
      </c>
      <c r="D141" s="4" t="s">
        <v>41</v>
      </c>
      <c r="E141" s="4" t="s">
        <v>12</v>
      </c>
      <c r="F141" s="4" t="s">
        <v>47</v>
      </c>
      <c r="G141" s="4">
        <v>1</v>
      </c>
      <c r="H141" s="2">
        <v>1799</v>
      </c>
      <c r="I141" s="2">
        <v>1799</v>
      </c>
      <c r="J141" s="2" t="str">
        <f t="shared" si="4"/>
        <v>Mar</v>
      </c>
      <c r="K141" s="4">
        <f t="shared" si="5"/>
        <v>2024</v>
      </c>
    </row>
    <row r="142" spans="1:11" x14ac:dyDescent="0.3">
      <c r="A142" s="4" t="s">
        <v>184</v>
      </c>
      <c r="B142" s="8">
        <v>45375</v>
      </c>
      <c r="C142" s="4" t="s">
        <v>15</v>
      </c>
      <c r="D142" s="4" t="s">
        <v>16</v>
      </c>
      <c r="E142" s="4" t="s">
        <v>35</v>
      </c>
      <c r="F142" s="4" t="s">
        <v>21</v>
      </c>
      <c r="G142" s="4">
        <v>4</v>
      </c>
      <c r="H142" s="2">
        <v>1699.15</v>
      </c>
      <c r="I142" s="2">
        <v>6796.6</v>
      </c>
      <c r="J142" s="2" t="str">
        <f t="shared" si="4"/>
        <v>Mar</v>
      </c>
      <c r="K142" s="4">
        <f t="shared" si="5"/>
        <v>2024</v>
      </c>
    </row>
    <row r="143" spans="1:11" x14ac:dyDescent="0.3">
      <c r="A143" s="4" t="s">
        <v>185</v>
      </c>
      <c r="B143" s="8">
        <v>45375</v>
      </c>
      <c r="C143" s="4" t="s">
        <v>107</v>
      </c>
      <c r="D143" s="4" t="s">
        <v>31</v>
      </c>
      <c r="E143" s="4" t="s">
        <v>24</v>
      </c>
      <c r="F143" s="4" t="s">
        <v>47</v>
      </c>
      <c r="G143" s="4">
        <v>4</v>
      </c>
      <c r="H143" s="2">
        <v>3299</v>
      </c>
      <c r="I143" s="2">
        <v>13196</v>
      </c>
      <c r="J143" s="2" t="str">
        <f t="shared" si="4"/>
        <v>Mar</v>
      </c>
      <c r="K143" s="4">
        <f t="shared" si="5"/>
        <v>2024</v>
      </c>
    </row>
    <row r="144" spans="1:11" x14ac:dyDescent="0.3">
      <c r="A144" s="4" t="s">
        <v>186</v>
      </c>
      <c r="B144" s="8">
        <v>45375</v>
      </c>
      <c r="C144" s="4" t="s">
        <v>10</v>
      </c>
      <c r="D144" s="4" t="s">
        <v>11</v>
      </c>
      <c r="E144" s="4" t="s">
        <v>24</v>
      </c>
      <c r="F144" s="4" t="s">
        <v>21</v>
      </c>
      <c r="G144" s="4">
        <v>1</v>
      </c>
      <c r="H144" s="2">
        <v>299</v>
      </c>
      <c r="I144" s="2">
        <v>299</v>
      </c>
      <c r="J144" s="2" t="str">
        <f t="shared" si="4"/>
        <v>Mar</v>
      </c>
      <c r="K144" s="4">
        <f t="shared" si="5"/>
        <v>2024</v>
      </c>
    </row>
    <row r="145" spans="1:11" x14ac:dyDescent="0.3">
      <c r="A145" s="4" t="s">
        <v>187</v>
      </c>
      <c r="B145" s="8">
        <v>45376</v>
      </c>
      <c r="C145" s="4" t="s">
        <v>20</v>
      </c>
      <c r="D145" s="4" t="s">
        <v>11</v>
      </c>
      <c r="E145" s="4" t="s">
        <v>12</v>
      </c>
      <c r="F145" s="4" t="s">
        <v>21</v>
      </c>
      <c r="G145" s="4">
        <v>5</v>
      </c>
      <c r="H145" s="2">
        <v>399</v>
      </c>
      <c r="I145" s="2">
        <v>1995</v>
      </c>
      <c r="J145" s="2" t="str">
        <f t="shared" si="4"/>
        <v>Mar</v>
      </c>
      <c r="K145" s="4">
        <f t="shared" si="5"/>
        <v>2024</v>
      </c>
    </row>
    <row r="146" spans="1:11" x14ac:dyDescent="0.3">
      <c r="A146" s="4" t="s">
        <v>188</v>
      </c>
      <c r="B146" s="8">
        <v>45376</v>
      </c>
      <c r="C146" s="4" t="s">
        <v>67</v>
      </c>
      <c r="D146" s="4" t="s">
        <v>11</v>
      </c>
      <c r="E146" s="4" t="s">
        <v>24</v>
      </c>
      <c r="F146" s="4" t="s">
        <v>13</v>
      </c>
      <c r="G146" s="4">
        <v>4</v>
      </c>
      <c r="H146" s="2">
        <v>349</v>
      </c>
      <c r="I146" s="2">
        <v>1396</v>
      </c>
      <c r="J146" s="2" t="str">
        <f t="shared" si="4"/>
        <v>Mar</v>
      </c>
      <c r="K146" s="4">
        <f t="shared" si="5"/>
        <v>2024</v>
      </c>
    </row>
    <row r="147" spans="1:11" x14ac:dyDescent="0.3">
      <c r="A147" s="4" t="s">
        <v>189</v>
      </c>
      <c r="B147" s="8">
        <v>45377</v>
      </c>
      <c r="C147" s="4" t="s">
        <v>27</v>
      </c>
      <c r="D147" s="4" t="s">
        <v>28</v>
      </c>
      <c r="E147" s="4" t="s">
        <v>24</v>
      </c>
      <c r="F147" s="4" t="s">
        <v>18</v>
      </c>
      <c r="G147" s="4">
        <v>7</v>
      </c>
      <c r="H147" s="2">
        <v>3499</v>
      </c>
      <c r="I147" s="2">
        <v>24493</v>
      </c>
      <c r="J147" s="2" t="str">
        <f t="shared" si="4"/>
        <v>Mar</v>
      </c>
      <c r="K147" s="4">
        <f t="shared" si="5"/>
        <v>2024</v>
      </c>
    </row>
    <row r="148" spans="1:11" x14ac:dyDescent="0.3">
      <c r="A148" s="4" t="s">
        <v>190</v>
      </c>
      <c r="B148" s="8">
        <v>45377</v>
      </c>
      <c r="C148" s="4" t="s">
        <v>50</v>
      </c>
      <c r="D148" s="4" t="s">
        <v>41</v>
      </c>
      <c r="E148" s="4" t="s">
        <v>35</v>
      </c>
      <c r="F148" s="4" t="s">
        <v>21</v>
      </c>
      <c r="G148" s="4">
        <v>4</v>
      </c>
      <c r="H148" s="2">
        <v>999</v>
      </c>
      <c r="I148" s="2">
        <v>3996</v>
      </c>
      <c r="J148" s="2" t="str">
        <f t="shared" si="4"/>
        <v>Mar</v>
      </c>
      <c r="K148" s="4">
        <f t="shared" si="5"/>
        <v>2024</v>
      </c>
    </row>
    <row r="149" spans="1:11" x14ac:dyDescent="0.3">
      <c r="A149" s="4" t="s">
        <v>191</v>
      </c>
      <c r="B149" s="8">
        <v>45379</v>
      </c>
      <c r="C149" s="4" t="s">
        <v>72</v>
      </c>
      <c r="D149" s="4" t="s">
        <v>16</v>
      </c>
      <c r="E149" s="4" t="s">
        <v>35</v>
      </c>
      <c r="F149" s="4" t="s">
        <v>13</v>
      </c>
      <c r="G149" s="4">
        <v>7</v>
      </c>
      <c r="H149" s="2">
        <v>1799</v>
      </c>
      <c r="I149" s="2">
        <v>12593</v>
      </c>
      <c r="J149" s="2" t="str">
        <f t="shared" si="4"/>
        <v>Mar</v>
      </c>
      <c r="K149" s="4">
        <f t="shared" si="5"/>
        <v>2024</v>
      </c>
    </row>
    <row r="150" spans="1:11" x14ac:dyDescent="0.3">
      <c r="A150" s="4" t="s">
        <v>192</v>
      </c>
      <c r="B150" s="8">
        <v>45379</v>
      </c>
      <c r="C150" s="4" t="s">
        <v>20</v>
      </c>
      <c r="D150" s="4" t="s">
        <v>11</v>
      </c>
      <c r="E150" s="4" t="s">
        <v>35</v>
      </c>
      <c r="F150" s="4" t="s">
        <v>21</v>
      </c>
      <c r="G150" s="4">
        <v>3</v>
      </c>
      <c r="H150" s="2">
        <v>399</v>
      </c>
      <c r="I150" s="2">
        <v>1197</v>
      </c>
      <c r="J150" s="2" t="str">
        <f t="shared" si="4"/>
        <v>Mar</v>
      </c>
      <c r="K150" s="4">
        <f t="shared" si="5"/>
        <v>2024</v>
      </c>
    </row>
    <row r="151" spans="1:11" x14ac:dyDescent="0.3">
      <c r="A151" s="4" t="s">
        <v>193</v>
      </c>
      <c r="B151" s="8">
        <v>45381</v>
      </c>
      <c r="C151" s="4" t="s">
        <v>59</v>
      </c>
      <c r="D151" s="4" t="s">
        <v>41</v>
      </c>
      <c r="E151" s="4" t="s">
        <v>24</v>
      </c>
      <c r="F151" s="4" t="s">
        <v>18</v>
      </c>
      <c r="G151" s="4">
        <v>2</v>
      </c>
      <c r="H151" s="2">
        <v>1499</v>
      </c>
      <c r="I151" s="2">
        <v>2998</v>
      </c>
      <c r="J151" s="2" t="str">
        <f t="shared" si="4"/>
        <v>Mar</v>
      </c>
      <c r="K151" s="4">
        <f t="shared" si="5"/>
        <v>2024</v>
      </c>
    </row>
    <row r="152" spans="1:11" x14ac:dyDescent="0.3">
      <c r="A152" s="4" t="s">
        <v>194</v>
      </c>
      <c r="B152" s="8">
        <v>45381</v>
      </c>
      <c r="C152" s="4" t="s">
        <v>45</v>
      </c>
      <c r="D152" s="4" t="s">
        <v>16</v>
      </c>
      <c r="E152" s="4" t="s">
        <v>24</v>
      </c>
      <c r="F152" s="4" t="s">
        <v>47</v>
      </c>
      <c r="G152" s="4">
        <v>3</v>
      </c>
      <c r="H152" s="2">
        <v>5499</v>
      </c>
      <c r="I152" s="2">
        <v>16497</v>
      </c>
      <c r="J152" s="2" t="str">
        <f t="shared" si="4"/>
        <v>Mar</v>
      </c>
      <c r="K152" s="4">
        <f t="shared" si="5"/>
        <v>2024</v>
      </c>
    </row>
    <row r="153" spans="1:11" x14ac:dyDescent="0.3">
      <c r="A153" s="4" t="s">
        <v>195</v>
      </c>
      <c r="B153" s="8">
        <v>45381</v>
      </c>
      <c r="C153" s="4" t="s">
        <v>72</v>
      </c>
      <c r="D153" s="4" t="s">
        <v>16</v>
      </c>
      <c r="E153" s="4" t="s">
        <v>24</v>
      </c>
      <c r="F153" s="4" t="s">
        <v>25</v>
      </c>
      <c r="G153" s="4">
        <v>2</v>
      </c>
      <c r="H153" s="2">
        <v>1799</v>
      </c>
      <c r="I153" s="2">
        <v>3598</v>
      </c>
      <c r="J153" s="2" t="str">
        <f t="shared" si="4"/>
        <v>Mar</v>
      </c>
      <c r="K153" s="4">
        <f t="shared" si="5"/>
        <v>2024</v>
      </c>
    </row>
    <row r="154" spans="1:11" x14ac:dyDescent="0.3">
      <c r="A154" s="4" t="s">
        <v>196</v>
      </c>
      <c r="B154" s="8">
        <v>45382</v>
      </c>
      <c r="C154" s="4" t="s">
        <v>27</v>
      </c>
      <c r="D154" s="4" t="s">
        <v>28</v>
      </c>
      <c r="E154" s="4" t="s">
        <v>24</v>
      </c>
      <c r="F154" s="4" t="s">
        <v>21</v>
      </c>
      <c r="G154" s="4">
        <v>2</v>
      </c>
      <c r="H154" s="2">
        <v>3499</v>
      </c>
      <c r="I154" s="2">
        <v>6998</v>
      </c>
      <c r="J154" s="2" t="str">
        <f t="shared" si="4"/>
        <v>Mar</v>
      </c>
      <c r="K154" s="4">
        <f t="shared" si="5"/>
        <v>2024</v>
      </c>
    </row>
    <row r="155" spans="1:11" x14ac:dyDescent="0.3">
      <c r="A155" s="4" t="s">
        <v>197</v>
      </c>
      <c r="B155" s="8">
        <v>45382</v>
      </c>
      <c r="C155" s="4" t="s">
        <v>37</v>
      </c>
      <c r="D155" s="4" t="s">
        <v>16</v>
      </c>
      <c r="E155" s="4" t="s">
        <v>24</v>
      </c>
      <c r="F155" s="4" t="s">
        <v>32</v>
      </c>
      <c r="G155" s="4">
        <v>3</v>
      </c>
      <c r="H155" s="2">
        <v>899</v>
      </c>
      <c r="I155" s="2">
        <v>2697</v>
      </c>
      <c r="J155" s="2" t="str">
        <f t="shared" si="4"/>
        <v>Mar</v>
      </c>
      <c r="K155" s="4">
        <f t="shared" si="5"/>
        <v>2024</v>
      </c>
    </row>
    <row r="156" spans="1:11" x14ac:dyDescent="0.3">
      <c r="A156" s="4" t="s">
        <v>198</v>
      </c>
      <c r="B156" s="8">
        <v>45382</v>
      </c>
      <c r="C156" s="4" t="s">
        <v>72</v>
      </c>
      <c r="D156" s="4" t="s">
        <v>16</v>
      </c>
      <c r="E156" s="4" t="s">
        <v>12</v>
      </c>
      <c r="F156" s="4" t="s">
        <v>21</v>
      </c>
      <c r="G156" s="4">
        <v>7</v>
      </c>
      <c r="H156" s="2">
        <v>1799</v>
      </c>
      <c r="I156" s="2">
        <v>12593</v>
      </c>
      <c r="J156" s="2" t="str">
        <f t="shared" si="4"/>
        <v>Mar</v>
      </c>
      <c r="K156" s="4">
        <f t="shared" si="5"/>
        <v>2024</v>
      </c>
    </row>
    <row r="157" spans="1:11" x14ac:dyDescent="0.3">
      <c r="A157" s="4" t="s">
        <v>199</v>
      </c>
      <c r="B157" s="8">
        <v>45383</v>
      </c>
      <c r="C157" s="4" t="s">
        <v>72</v>
      </c>
      <c r="D157" s="4" t="s">
        <v>16</v>
      </c>
      <c r="E157" s="4" t="s">
        <v>24</v>
      </c>
      <c r="F157" s="4" t="s">
        <v>21</v>
      </c>
      <c r="G157" s="4">
        <v>3</v>
      </c>
      <c r="H157" s="2">
        <v>1799</v>
      </c>
      <c r="I157" s="2">
        <v>5397</v>
      </c>
      <c r="J157" s="2" t="str">
        <f t="shared" si="4"/>
        <v>Apr</v>
      </c>
      <c r="K157" s="4">
        <f t="shared" si="5"/>
        <v>2024</v>
      </c>
    </row>
    <row r="158" spans="1:11" x14ac:dyDescent="0.3">
      <c r="A158" s="4" t="s">
        <v>200</v>
      </c>
      <c r="B158" s="8">
        <v>45384</v>
      </c>
      <c r="C158" s="4" t="s">
        <v>27</v>
      </c>
      <c r="D158" s="4" t="s">
        <v>28</v>
      </c>
      <c r="E158" s="4" t="s">
        <v>24</v>
      </c>
      <c r="F158" s="4" t="s">
        <v>25</v>
      </c>
      <c r="G158" s="4">
        <v>2</v>
      </c>
      <c r="H158" s="2">
        <v>3499</v>
      </c>
      <c r="I158" s="2">
        <v>6998</v>
      </c>
      <c r="J158" s="2" t="str">
        <f t="shared" si="4"/>
        <v>Apr</v>
      </c>
      <c r="K158" s="4">
        <f t="shared" si="5"/>
        <v>2024</v>
      </c>
    </row>
    <row r="159" spans="1:11" x14ac:dyDescent="0.3">
      <c r="A159" s="4" t="s">
        <v>201</v>
      </c>
      <c r="B159" s="8">
        <v>45384</v>
      </c>
      <c r="C159" s="4" t="s">
        <v>57</v>
      </c>
      <c r="D159" s="4" t="s">
        <v>31</v>
      </c>
      <c r="E159" s="4" t="s">
        <v>12</v>
      </c>
      <c r="F159" s="4" t="s">
        <v>25</v>
      </c>
      <c r="G159" s="4">
        <v>4</v>
      </c>
      <c r="H159" s="2">
        <v>1169.0999999999999</v>
      </c>
      <c r="I159" s="2">
        <v>4676.3999999999996</v>
      </c>
      <c r="J159" s="2" t="str">
        <f t="shared" si="4"/>
        <v>Apr</v>
      </c>
      <c r="K159" s="4">
        <f t="shared" si="5"/>
        <v>2024</v>
      </c>
    </row>
    <row r="160" spans="1:11" x14ac:dyDescent="0.3">
      <c r="A160" s="4" t="s">
        <v>202</v>
      </c>
      <c r="B160" s="8">
        <v>45384</v>
      </c>
      <c r="C160" s="4" t="s">
        <v>64</v>
      </c>
      <c r="D160" s="4" t="s">
        <v>41</v>
      </c>
      <c r="E160" s="4" t="s">
        <v>12</v>
      </c>
      <c r="F160" s="4" t="s">
        <v>21</v>
      </c>
      <c r="G160" s="4">
        <v>3</v>
      </c>
      <c r="H160" s="2">
        <v>1799</v>
      </c>
      <c r="I160" s="2">
        <v>5397</v>
      </c>
      <c r="J160" s="2" t="str">
        <f t="shared" si="4"/>
        <v>Apr</v>
      </c>
      <c r="K160" s="4">
        <f t="shared" si="5"/>
        <v>2024</v>
      </c>
    </row>
    <row r="161" spans="1:11" x14ac:dyDescent="0.3">
      <c r="A161" s="4" t="s">
        <v>203</v>
      </c>
      <c r="B161" s="8">
        <v>45384</v>
      </c>
      <c r="C161" s="4" t="s">
        <v>50</v>
      </c>
      <c r="D161" s="4" t="s">
        <v>41</v>
      </c>
      <c r="E161" s="4" t="s">
        <v>35</v>
      </c>
      <c r="F161" s="4" t="s">
        <v>18</v>
      </c>
      <c r="G161" s="4">
        <v>1</v>
      </c>
      <c r="H161" s="2">
        <v>999</v>
      </c>
      <c r="I161" s="2">
        <v>999</v>
      </c>
      <c r="J161" s="2" t="str">
        <f t="shared" si="4"/>
        <v>Apr</v>
      </c>
      <c r="K161" s="4">
        <f t="shared" si="5"/>
        <v>2024</v>
      </c>
    </row>
    <row r="162" spans="1:11" x14ac:dyDescent="0.3">
      <c r="A162" s="4" t="s">
        <v>204</v>
      </c>
      <c r="B162" s="8">
        <v>45385</v>
      </c>
      <c r="C162" s="4" t="s">
        <v>107</v>
      </c>
      <c r="D162" s="4" t="s">
        <v>31</v>
      </c>
      <c r="E162" s="4" t="s">
        <v>35</v>
      </c>
      <c r="F162" s="4" t="s">
        <v>18</v>
      </c>
      <c r="G162" s="4">
        <v>2</v>
      </c>
      <c r="H162" s="2">
        <v>3299</v>
      </c>
      <c r="I162" s="2">
        <v>6598</v>
      </c>
      <c r="J162" s="2" t="str">
        <f t="shared" si="4"/>
        <v>Apr</v>
      </c>
      <c r="K162" s="4">
        <f t="shared" si="5"/>
        <v>2024</v>
      </c>
    </row>
    <row r="163" spans="1:11" x14ac:dyDescent="0.3">
      <c r="A163" s="4" t="s">
        <v>205</v>
      </c>
      <c r="B163" s="8">
        <v>45387</v>
      </c>
      <c r="C163" s="4" t="s">
        <v>15</v>
      </c>
      <c r="D163" s="4" t="s">
        <v>16</v>
      </c>
      <c r="E163" s="4" t="s">
        <v>24</v>
      </c>
      <c r="F163" s="4" t="s">
        <v>21</v>
      </c>
      <c r="G163" s="4">
        <v>3</v>
      </c>
      <c r="H163" s="2">
        <v>1999</v>
      </c>
      <c r="I163" s="2">
        <v>5997</v>
      </c>
      <c r="J163" s="2" t="str">
        <f t="shared" si="4"/>
        <v>Apr</v>
      </c>
      <c r="K163" s="4">
        <f t="shared" si="5"/>
        <v>2024</v>
      </c>
    </row>
    <row r="164" spans="1:11" x14ac:dyDescent="0.3">
      <c r="A164" s="4" t="s">
        <v>206</v>
      </c>
      <c r="B164" s="8">
        <v>45387</v>
      </c>
      <c r="C164" s="4" t="s">
        <v>86</v>
      </c>
      <c r="D164" s="4" t="s">
        <v>28</v>
      </c>
      <c r="E164" s="4" t="s">
        <v>24</v>
      </c>
      <c r="F164" s="4" t="s">
        <v>32</v>
      </c>
      <c r="G164" s="4">
        <v>5</v>
      </c>
      <c r="H164" s="2">
        <v>899</v>
      </c>
      <c r="I164" s="2">
        <v>4495</v>
      </c>
      <c r="J164" s="2" t="str">
        <f t="shared" si="4"/>
        <v>Apr</v>
      </c>
      <c r="K164" s="4">
        <f t="shared" si="5"/>
        <v>2024</v>
      </c>
    </row>
    <row r="165" spans="1:11" x14ac:dyDescent="0.3">
      <c r="A165" s="4" t="s">
        <v>207</v>
      </c>
      <c r="B165" s="8">
        <v>45387</v>
      </c>
      <c r="C165" s="4" t="s">
        <v>27</v>
      </c>
      <c r="D165" s="4" t="s">
        <v>28</v>
      </c>
      <c r="E165" s="4" t="s">
        <v>35</v>
      </c>
      <c r="F165" s="4" t="s">
        <v>21</v>
      </c>
      <c r="G165" s="4">
        <v>3</v>
      </c>
      <c r="H165" s="2">
        <v>3149.1</v>
      </c>
      <c r="I165" s="2">
        <v>9447.2999999999993</v>
      </c>
      <c r="J165" s="2" t="str">
        <f t="shared" si="4"/>
        <v>Apr</v>
      </c>
      <c r="K165" s="4">
        <f t="shared" si="5"/>
        <v>2024</v>
      </c>
    </row>
    <row r="166" spans="1:11" x14ac:dyDescent="0.3">
      <c r="A166" s="4" t="s">
        <v>208</v>
      </c>
      <c r="B166" s="8">
        <v>45387</v>
      </c>
      <c r="C166" s="4" t="s">
        <v>45</v>
      </c>
      <c r="D166" s="4" t="s">
        <v>16</v>
      </c>
      <c r="E166" s="4" t="s">
        <v>17</v>
      </c>
      <c r="F166" s="4" t="s">
        <v>32</v>
      </c>
      <c r="G166" s="4">
        <v>8</v>
      </c>
      <c r="H166" s="2">
        <v>5499</v>
      </c>
      <c r="I166" s="2">
        <v>43992</v>
      </c>
      <c r="J166" s="2" t="str">
        <f t="shared" si="4"/>
        <v>Apr</v>
      </c>
      <c r="K166" s="4">
        <f t="shared" si="5"/>
        <v>2024</v>
      </c>
    </row>
    <row r="167" spans="1:11" x14ac:dyDescent="0.3">
      <c r="A167" s="4" t="s">
        <v>209</v>
      </c>
      <c r="B167" s="8">
        <v>45387</v>
      </c>
      <c r="C167" s="4" t="s">
        <v>37</v>
      </c>
      <c r="D167" s="4" t="s">
        <v>16</v>
      </c>
      <c r="E167" s="4" t="s">
        <v>24</v>
      </c>
      <c r="F167" s="4" t="s">
        <v>32</v>
      </c>
      <c r="G167" s="4">
        <v>8</v>
      </c>
      <c r="H167" s="2">
        <v>899</v>
      </c>
      <c r="I167" s="2">
        <v>7192</v>
      </c>
      <c r="J167" s="2" t="str">
        <f t="shared" si="4"/>
        <v>Apr</v>
      </c>
      <c r="K167" s="4">
        <f t="shared" si="5"/>
        <v>2024</v>
      </c>
    </row>
    <row r="168" spans="1:11" x14ac:dyDescent="0.3">
      <c r="A168" s="4" t="s">
        <v>210</v>
      </c>
      <c r="B168" s="8">
        <v>45388</v>
      </c>
      <c r="C168" s="4" t="s">
        <v>37</v>
      </c>
      <c r="D168" s="4" t="s">
        <v>16</v>
      </c>
      <c r="E168" s="4" t="s">
        <v>35</v>
      </c>
      <c r="F168" s="4" t="s">
        <v>21</v>
      </c>
      <c r="G168" s="4">
        <v>4</v>
      </c>
      <c r="H168" s="2">
        <v>854.05</v>
      </c>
      <c r="I168" s="2">
        <v>3416.2</v>
      </c>
      <c r="J168" s="2" t="str">
        <f t="shared" si="4"/>
        <v>Apr</v>
      </c>
      <c r="K168" s="4">
        <f t="shared" si="5"/>
        <v>2024</v>
      </c>
    </row>
    <row r="169" spans="1:11" x14ac:dyDescent="0.3">
      <c r="A169" s="4" t="s">
        <v>211</v>
      </c>
      <c r="B169" s="8">
        <v>45389</v>
      </c>
      <c r="C169" s="4" t="s">
        <v>107</v>
      </c>
      <c r="D169" s="4" t="s">
        <v>31</v>
      </c>
      <c r="E169" s="4" t="s">
        <v>24</v>
      </c>
      <c r="F169" s="4" t="s">
        <v>47</v>
      </c>
      <c r="G169" s="4">
        <v>1</v>
      </c>
      <c r="H169" s="2">
        <v>3299</v>
      </c>
      <c r="I169" s="2">
        <v>3299</v>
      </c>
      <c r="J169" s="2" t="str">
        <f t="shared" si="4"/>
        <v>Apr</v>
      </c>
      <c r="K169" s="4">
        <f t="shared" si="5"/>
        <v>2024</v>
      </c>
    </row>
    <row r="170" spans="1:11" x14ac:dyDescent="0.3">
      <c r="A170" s="4" t="s">
        <v>212</v>
      </c>
      <c r="B170" s="8">
        <v>45389</v>
      </c>
      <c r="C170" s="4" t="s">
        <v>20</v>
      </c>
      <c r="D170" s="4" t="s">
        <v>11</v>
      </c>
      <c r="E170" s="4" t="s">
        <v>12</v>
      </c>
      <c r="F170" s="4" t="s">
        <v>47</v>
      </c>
      <c r="G170" s="4">
        <v>2</v>
      </c>
      <c r="H170" s="2">
        <v>399</v>
      </c>
      <c r="I170" s="2">
        <v>798</v>
      </c>
      <c r="J170" s="2" t="str">
        <f t="shared" si="4"/>
        <v>Apr</v>
      </c>
      <c r="K170" s="4">
        <f t="shared" si="5"/>
        <v>2024</v>
      </c>
    </row>
    <row r="171" spans="1:11" x14ac:dyDescent="0.3">
      <c r="A171" s="4" t="s">
        <v>213</v>
      </c>
      <c r="B171" s="8">
        <v>45389</v>
      </c>
      <c r="C171" s="4" t="s">
        <v>59</v>
      </c>
      <c r="D171" s="4" t="s">
        <v>41</v>
      </c>
      <c r="E171" s="4" t="s">
        <v>35</v>
      </c>
      <c r="F171" s="4" t="s">
        <v>32</v>
      </c>
      <c r="G171" s="4">
        <v>7</v>
      </c>
      <c r="H171" s="2">
        <v>1424.05</v>
      </c>
      <c r="I171" s="2">
        <v>9968.35</v>
      </c>
      <c r="J171" s="2" t="str">
        <f t="shared" si="4"/>
        <v>Apr</v>
      </c>
      <c r="K171" s="4">
        <f t="shared" si="5"/>
        <v>2024</v>
      </c>
    </row>
    <row r="172" spans="1:11" x14ac:dyDescent="0.3">
      <c r="A172" s="4" t="s">
        <v>214</v>
      </c>
      <c r="B172" s="8">
        <v>45390</v>
      </c>
      <c r="C172" s="4" t="s">
        <v>20</v>
      </c>
      <c r="D172" s="4" t="s">
        <v>11</v>
      </c>
      <c r="E172" s="4" t="s">
        <v>35</v>
      </c>
      <c r="F172" s="4" t="s">
        <v>18</v>
      </c>
      <c r="G172" s="4">
        <v>2</v>
      </c>
      <c r="H172" s="2">
        <v>399</v>
      </c>
      <c r="I172" s="2">
        <v>798</v>
      </c>
      <c r="J172" s="2" t="str">
        <f t="shared" si="4"/>
        <v>Apr</v>
      </c>
      <c r="K172" s="4">
        <f t="shared" si="5"/>
        <v>2024</v>
      </c>
    </row>
    <row r="173" spans="1:11" x14ac:dyDescent="0.3">
      <c r="A173" s="4" t="s">
        <v>215</v>
      </c>
      <c r="B173" s="8">
        <v>45391</v>
      </c>
      <c r="C173" s="4" t="s">
        <v>59</v>
      </c>
      <c r="D173" s="4" t="s">
        <v>41</v>
      </c>
      <c r="E173" s="4" t="s">
        <v>17</v>
      </c>
      <c r="F173" s="4" t="s">
        <v>13</v>
      </c>
      <c r="G173" s="4">
        <v>3</v>
      </c>
      <c r="H173" s="2">
        <v>1274.1500000000001</v>
      </c>
      <c r="I173" s="2">
        <v>3822.45</v>
      </c>
      <c r="J173" s="2" t="str">
        <f t="shared" si="4"/>
        <v>Apr</v>
      </c>
      <c r="K173" s="4">
        <f t="shared" si="5"/>
        <v>2024</v>
      </c>
    </row>
    <row r="174" spans="1:11" x14ac:dyDescent="0.3">
      <c r="A174" s="4" t="s">
        <v>216</v>
      </c>
      <c r="B174" s="8">
        <v>45391</v>
      </c>
      <c r="C174" s="4" t="s">
        <v>20</v>
      </c>
      <c r="D174" s="4" t="s">
        <v>11</v>
      </c>
      <c r="E174" s="4" t="s">
        <v>17</v>
      </c>
      <c r="F174" s="4" t="s">
        <v>32</v>
      </c>
      <c r="G174" s="4">
        <v>3</v>
      </c>
      <c r="H174" s="2">
        <v>399</v>
      </c>
      <c r="I174" s="2">
        <v>1197</v>
      </c>
      <c r="J174" s="2" t="str">
        <f t="shared" si="4"/>
        <v>Apr</v>
      </c>
      <c r="K174" s="4">
        <f t="shared" si="5"/>
        <v>2024</v>
      </c>
    </row>
    <row r="175" spans="1:11" x14ac:dyDescent="0.3">
      <c r="A175" s="4" t="s">
        <v>217</v>
      </c>
      <c r="B175" s="8">
        <v>45391</v>
      </c>
      <c r="C175" s="4" t="s">
        <v>57</v>
      </c>
      <c r="D175" s="4" t="s">
        <v>31</v>
      </c>
      <c r="E175" s="4" t="s">
        <v>35</v>
      </c>
      <c r="F175" s="4" t="s">
        <v>47</v>
      </c>
      <c r="G175" s="4">
        <v>3</v>
      </c>
      <c r="H175" s="2">
        <v>1299</v>
      </c>
      <c r="I175" s="2">
        <v>3897</v>
      </c>
      <c r="J175" s="2" t="str">
        <f t="shared" si="4"/>
        <v>Apr</v>
      </c>
      <c r="K175" s="4">
        <f t="shared" si="5"/>
        <v>2024</v>
      </c>
    </row>
    <row r="176" spans="1:11" x14ac:dyDescent="0.3">
      <c r="A176" s="4" t="s">
        <v>218</v>
      </c>
      <c r="B176" s="8">
        <v>45392</v>
      </c>
      <c r="C176" s="4" t="s">
        <v>50</v>
      </c>
      <c r="D176" s="4" t="s">
        <v>41</v>
      </c>
      <c r="E176" s="4" t="s">
        <v>17</v>
      </c>
      <c r="F176" s="4" t="s">
        <v>32</v>
      </c>
      <c r="G176" s="4">
        <v>1</v>
      </c>
      <c r="H176" s="2">
        <v>949.05</v>
      </c>
      <c r="I176" s="2">
        <v>949.05</v>
      </c>
      <c r="J176" s="2" t="str">
        <f t="shared" si="4"/>
        <v>Apr</v>
      </c>
      <c r="K176" s="4">
        <f t="shared" si="5"/>
        <v>2024</v>
      </c>
    </row>
    <row r="177" spans="1:11" x14ac:dyDescent="0.3">
      <c r="A177" s="4" t="s">
        <v>219</v>
      </c>
      <c r="B177" s="8">
        <v>45392</v>
      </c>
      <c r="C177" s="4" t="s">
        <v>45</v>
      </c>
      <c r="D177" s="4" t="s">
        <v>16</v>
      </c>
      <c r="E177" s="4" t="s">
        <v>24</v>
      </c>
      <c r="F177" s="4" t="s">
        <v>21</v>
      </c>
      <c r="G177" s="4">
        <v>9</v>
      </c>
      <c r="H177" s="2">
        <v>5499</v>
      </c>
      <c r="I177" s="2">
        <v>49491</v>
      </c>
      <c r="J177" s="2" t="str">
        <f t="shared" si="4"/>
        <v>Apr</v>
      </c>
      <c r="K177" s="4">
        <f t="shared" si="5"/>
        <v>2024</v>
      </c>
    </row>
    <row r="178" spans="1:11" x14ac:dyDescent="0.3">
      <c r="A178" s="4" t="s">
        <v>220</v>
      </c>
      <c r="B178" s="8">
        <v>45393</v>
      </c>
      <c r="C178" s="4" t="s">
        <v>37</v>
      </c>
      <c r="D178" s="4" t="s">
        <v>16</v>
      </c>
      <c r="E178" s="4" t="s">
        <v>12</v>
      </c>
      <c r="F178" s="4" t="s">
        <v>18</v>
      </c>
      <c r="G178" s="4">
        <v>4</v>
      </c>
      <c r="H178" s="2">
        <v>809.1</v>
      </c>
      <c r="I178" s="2">
        <v>3236.4</v>
      </c>
      <c r="J178" s="2" t="str">
        <f t="shared" si="4"/>
        <v>Apr</v>
      </c>
      <c r="K178" s="4">
        <f t="shared" si="5"/>
        <v>2024</v>
      </c>
    </row>
    <row r="179" spans="1:11" x14ac:dyDescent="0.3">
      <c r="A179" s="4" t="s">
        <v>221</v>
      </c>
      <c r="B179" s="8">
        <v>45393</v>
      </c>
      <c r="C179" s="4" t="s">
        <v>52</v>
      </c>
      <c r="D179" s="4" t="s">
        <v>31</v>
      </c>
      <c r="E179" s="4" t="s">
        <v>24</v>
      </c>
      <c r="F179" s="4" t="s">
        <v>21</v>
      </c>
      <c r="G179" s="4">
        <v>2</v>
      </c>
      <c r="H179" s="2">
        <v>3999</v>
      </c>
      <c r="I179" s="2">
        <v>7998</v>
      </c>
      <c r="J179" s="2" t="str">
        <f t="shared" si="4"/>
        <v>Apr</v>
      </c>
      <c r="K179" s="4">
        <f t="shared" si="5"/>
        <v>2024</v>
      </c>
    </row>
    <row r="180" spans="1:11" x14ac:dyDescent="0.3">
      <c r="A180" s="4" t="s">
        <v>222</v>
      </c>
      <c r="B180" s="8">
        <v>45393</v>
      </c>
      <c r="C180" s="4" t="s">
        <v>70</v>
      </c>
      <c r="D180" s="4" t="s">
        <v>28</v>
      </c>
      <c r="E180" s="4" t="s">
        <v>24</v>
      </c>
      <c r="F180" s="4" t="s">
        <v>21</v>
      </c>
      <c r="G180" s="4">
        <v>2</v>
      </c>
      <c r="H180" s="2">
        <v>1079.0999999999999</v>
      </c>
      <c r="I180" s="2">
        <v>2158.1999999999998</v>
      </c>
      <c r="J180" s="2" t="str">
        <f t="shared" si="4"/>
        <v>Apr</v>
      </c>
      <c r="K180" s="4">
        <f t="shared" si="5"/>
        <v>2024</v>
      </c>
    </row>
    <row r="181" spans="1:11" x14ac:dyDescent="0.3">
      <c r="A181" s="4" t="s">
        <v>223</v>
      </c>
      <c r="B181" s="8">
        <v>45393</v>
      </c>
      <c r="C181" s="4" t="s">
        <v>27</v>
      </c>
      <c r="D181" s="4" t="s">
        <v>28</v>
      </c>
      <c r="E181" s="4" t="s">
        <v>17</v>
      </c>
      <c r="F181" s="4" t="s">
        <v>13</v>
      </c>
      <c r="G181" s="4">
        <v>7</v>
      </c>
      <c r="H181" s="2">
        <v>3149.1</v>
      </c>
      <c r="I181" s="2">
        <v>22043.7</v>
      </c>
      <c r="J181" s="2" t="str">
        <f t="shared" si="4"/>
        <v>Apr</v>
      </c>
      <c r="K181" s="4">
        <f t="shared" si="5"/>
        <v>2024</v>
      </c>
    </row>
    <row r="182" spans="1:11" x14ac:dyDescent="0.3">
      <c r="A182" s="4" t="s">
        <v>224</v>
      </c>
      <c r="B182" s="8">
        <v>45393</v>
      </c>
      <c r="C182" s="4" t="s">
        <v>40</v>
      </c>
      <c r="D182" s="4" t="s">
        <v>41</v>
      </c>
      <c r="E182" s="4" t="s">
        <v>24</v>
      </c>
      <c r="F182" s="4" t="s">
        <v>13</v>
      </c>
      <c r="G182" s="4">
        <v>3</v>
      </c>
      <c r="H182" s="2">
        <v>2199</v>
      </c>
      <c r="I182" s="2">
        <v>6597</v>
      </c>
      <c r="J182" s="2" t="str">
        <f t="shared" si="4"/>
        <v>Apr</v>
      </c>
      <c r="K182" s="4">
        <f t="shared" si="5"/>
        <v>2024</v>
      </c>
    </row>
    <row r="183" spans="1:11" x14ac:dyDescent="0.3">
      <c r="A183" s="4" t="s">
        <v>225</v>
      </c>
      <c r="B183" s="8">
        <v>45394</v>
      </c>
      <c r="C183" s="4" t="s">
        <v>10</v>
      </c>
      <c r="D183" s="4" t="s">
        <v>11</v>
      </c>
      <c r="E183" s="4" t="s">
        <v>17</v>
      </c>
      <c r="F183" s="4" t="s">
        <v>13</v>
      </c>
      <c r="G183" s="4">
        <v>5</v>
      </c>
      <c r="H183" s="2">
        <v>299</v>
      </c>
      <c r="I183" s="2">
        <v>1495</v>
      </c>
      <c r="J183" s="2" t="str">
        <f t="shared" si="4"/>
        <v>Apr</v>
      </c>
      <c r="K183" s="4">
        <f t="shared" si="5"/>
        <v>2024</v>
      </c>
    </row>
    <row r="184" spans="1:11" x14ac:dyDescent="0.3">
      <c r="A184" s="4" t="s">
        <v>226</v>
      </c>
      <c r="B184" s="8">
        <v>45394</v>
      </c>
      <c r="C184" s="4" t="s">
        <v>34</v>
      </c>
      <c r="D184" s="4" t="s">
        <v>28</v>
      </c>
      <c r="E184" s="4" t="s">
        <v>35</v>
      </c>
      <c r="F184" s="4" t="s">
        <v>13</v>
      </c>
      <c r="G184" s="4">
        <v>3</v>
      </c>
      <c r="H184" s="2">
        <v>799</v>
      </c>
      <c r="I184" s="2">
        <v>2397</v>
      </c>
      <c r="J184" s="2" t="str">
        <f t="shared" si="4"/>
        <v>Apr</v>
      </c>
      <c r="K184" s="4">
        <f t="shared" si="5"/>
        <v>2024</v>
      </c>
    </row>
    <row r="185" spans="1:11" x14ac:dyDescent="0.3">
      <c r="A185" s="4" t="s">
        <v>227</v>
      </c>
      <c r="B185" s="8">
        <v>45394</v>
      </c>
      <c r="C185" s="4" t="s">
        <v>107</v>
      </c>
      <c r="D185" s="4" t="s">
        <v>31</v>
      </c>
      <c r="E185" s="4" t="s">
        <v>35</v>
      </c>
      <c r="F185" s="4" t="s">
        <v>47</v>
      </c>
      <c r="G185" s="4">
        <v>6</v>
      </c>
      <c r="H185" s="2">
        <v>3299</v>
      </c>
      <c r="I185" s="2">
        <v>19794</v>
      </c>
      <c r="J185" s="2" t="str">
        <f t="shared" si="4"/>
        <v>Apr</v>
      </c>
      <c r="K185" s="4">
        <f t="shared" si="5"/>
        <v>2024</v>
      </c>
    </row>
    <row r="186" spans="1:11" x14ac:dyDescent="0.3">
      <c r="A186" s="4" t="s">
        <v>228</v>
      </c>
      <c r="B186" s="8">
        <v>45395</v>
      </c>
      <c r="C186" s="4" t="s">
        <v>15</v>
      </c>
      <c r="D186" s="4" t="s">
        <v>16</v>
      </c>
      <c r="E186" s="4" t="s">
        <v>12</v>
      </c>
      <c r="F186" s="4" t="s">
        <v>47</v>
      </c>
      <c r="G186" s="4">
        <v>1</v>
      </c>
      <c r="H186" s="2">
        <v>1999</v>
      </c>
      <c r="I186" s="2">
        <v>1999</v>
      </c>
      <c r="J186" s="2" t="str">
        <f t="shared" si="4"/>
        <v>Apr</v>
      </c>
      <c r="K186" s="4">
        <f t="shared" si="5"/>
        <v>2024</v>
      </c>
    </row>
    <row r="187" spans="1:11" x14ac:dyDescent="0.3">
      <c r="A187" s="4" t="s">
        <v>229</v>
      </c>
      <c r="B187" s="8">
        <v>45395</v>
      </c>
      <c r="C187" s="4" t="s">
        <v>64</v>
      </c>
      <c r="D187" s="4" t="s">
        <v>41</v>
      </c>
      <c r="E187" s="4" t="s">
        <v>17</v>
      </c>
      <c r="F187" s="4" t="s">
        <v>47</v>
      </c>
      <c r="G187" s="4">
        <v>3</v>
      </c>
      <c r="H187" s="2">
        <v>1799</v>
      </c>
      <c r="I187" s="2">
        <v>5397</v>
      </c>
      <c r="J187" s="2" t="str">
        <f t="shared" si="4"/>
        <v>Apr</v>
      </c>
      <c r="K187" s="4">
        <f t="shared" si="5"/>
        <v>2024</v>
      </c>
    </row>
    <row r="188" spans="1:11" x14ac:dyDescent="0.3">
      <c r="A188" s="4" t="s">
        <v>230</v>
      </c>
      <c r="B188" s="8">
        <v>45395</v>
      </c>
      <c r="C188" s="4" t="s">
        <v>30</v>
      </c>
      <c r="D188" s="4" t="s">
        <v>31</v>
      </c>
      <c r="E188" s="4" t="s">
        <v>35</v>
      </c>
      <c r="F188" s="4" t="s">
        <v>47</v>
      </c>
      <c r="G188" s="4">
        <v>7</v>
      </c>
      <c r="H188" s="2">
        <v>4499</v>
      </c>
      <c r="I188" s="2">
        <v>31493</v>
      </c>
      <c r="J188" s="2" t="str">
        <f t="shared" si="4"/>
        <v>Apr</v>
      </c>
      <c r="K188" s="4">
        <f t="shared" si="5"/>
        <v>2024</v>
      </c>
    </row>
    <row r="189" spans="1:11" x14ac:dyDescent="0.3">
      <c r="A189" s="4" t="s">
        <v>231</v>
      </c>
      <c r="B189" s="8">
        <v>45395</v>
      </c>
      <c r="C189" s="4" t="s">
        <v>20</v>
      </c>
      <c r="D189" s="4" t="s">
        <v>11</v>
      </c>
      <c r="E189" s="4" t="s">
        <v>35</v>
      </c>
      <c r="F189" s="4" t="s">
        <v>25</v>
      </c>
      <c r="G189" s="4">
        <v>3</v>
      </c>
      <c r="H189" s="2">
        <v>399</v>
      </c>
      <c r="I189" s="2">
        <v>1197</v>
      </c>
      <c r="J189" s="2" t="str">
        <f t="shared" si="4"/>
        <v>Apr</v>
      </c>
      <c r="K189" s="4">
        <f t="shared" si="5"/>
        <v>2024</v>
      </c>
    </row>
    <row r="190" spans="1:11" x14ac:dyDescent="0.3">
      <c r="A190" s="4" t="s">
        <v>232</v>
      </c>
      <c r="B190" s="8">
        <v>45395</v>
      </c>
      <c r="C190" s="4" t="s">
        <v>27</v>
      </c>
      <c r="D190" s="4" t="s">
        <v>28</v>
      </c>
      <c r="E190" s="4" t="s">
        <v>17</v>
      </c>
      <c r="F190" s="4" t="s">
        <v>32</v>
      </c>
      <c r="G190" s="4">
        <v>6</v>
      </c>
      <c r="H190" s="2">
        <v>3499</v>
      </c>
      <c r="I190" s="2">
        <v>20994</v>
      </c>
      <c r="J190" s="2" t="str">
        <f t="shared" si="4"/>
        <v>Apr</v>
      </c>
      <c r="K190" s="4">
        <f t="shared" si="5"/>
        <v>2024</v>
      </c>
    </row>
    <row r="191" spans="1:11" x14ac:dyDescent="0.3">
      <c r="A191" s="4" t="s">
        <v>233</v>
      </c>
      <c r="B191" s="8">
        <v>45396</v>
      </c>
      <c r="C191" s="4" t="s">
        <v>52</v>
      </c>
      <c r="D191" s="4" t="s">
        <v>31</v>
      </c>
      <c r="E191" s="4" t="s">
        <v>17</v>
      </c>
      <c r="F191" s="4" t="s">
        <v>21</v>
      </c>
      <c r="G191" s="4">
        <v>8</v>
      </c>
      <c r="H191" s="2">
        <v>3799.05</v>
      </c>
      <c r="I191" s="2">
        <v>30392.400000000001</v>
      </c>
      <c r="J191" s="2" t="str">
        <f t="shared" si="4"/>
        <v>Apr</v>
      </c>
      <c r="K191" s="4">
        <f t="shared" si="5"/>
        <v>2024</v>
      </c>
    </row>
    <row r="192" spans="1:11" x14ac:dyDescent="0.3">
      <c r="A192" s="4" t="s">
        <v>234</v>
      </c>
      <c r="B192" s="8">
        <v>45397</v>
      </c>
      <c r="C192" s="4" t="s">
        <v>70</v>
      </c>
      <c r="D192" s="4" t="s">
        <v>28</v>
      </c>
      <c r="E192" s="4" t="s">
        <v>24</v>
      </c>
      <c r="F192" s="4" t="s">
        <v>32</v>
      </c>
      <c r="G192" s="4">
        <v>1</v>
      </c>
      <c r="H192" s="2">
        <v>1079.0999999999999</v>
      </c>
      <c r="I192" s="2">
        <v>1079.0999999999999</v>
      </c>
      <c r="J192" s="2" t="str">
        <f t="shared" si="4"/>
        <v>Apr</v>
      </c>
      <c r="K192" s="4">
        <f t="shared" si="5"/>
        <v>2024</v>
      </c>
    </row>
    <row r="193" spans="1:11" x14ac:dyDescent="0.3">
      <c r="A193" s="4" t="s">
        <v>235</v>
      </c>
      <c r="B193" s="8">
        <v>45397</v>
      </c>
      <c r="C193" s="4" t="s">
        <v>59</v>
      </c>
      <c r="D193" s="4" t="s">
        <v>41</v>
      </c>
      <c r="E193" s="4" t="s">
        <v>24</v>
      </c>
      <c r="F193" s="4" t="s">
        <v>13</v>
      </c>
      <c r="G193" s="4">
        <v>5</v>
      </c>
      <c r="H193" s="2">
        <v>1499</v>
      </c>
      <c r="I193" s="2">
        <v>7495</v>
      </c>
      <c r="J193" s="2" t="str">
        <f t="shared" si="4"/>
        <v>Apr</v>
      </c>
      <c r="K193" s="4">
        <f t="shared" si="5"/>
        <v>2024</v>
      </c>
    </row>
    <row r="194" spans="1:11" x14ac:dyDescent="0.3">
      <c r="A194" s="4" t="s">
        <v>236</v>
      </c>
      <c r="B194" s="8">
        <v>45398</v>
      </c>
      <c r="C194" s="4" t="s">
        <v>86</v>
      </c>
      <c r="D194" s="4" t="s">
        <v>28</v>
      </c>
      <c r="E194" s="4" t="s">
        <v>35</v>
      </c>
      <c r="F194" s="4" t="s">
        <v>25</v>
      </c>
      <c r="G194" s="4">
        <v>6</v>
      </c>
      <c r="H194" s="2">
        <v>809.1</v>
      </c>
      <c r="I194" s="2">
        <v>4854.6000000000004</v>
      </c>
      <c r="J194" s="2" t="str">
        <f t="shared" ref="J194:J257" si="6">TEXT(B194,"mmm")</f>
        <v>Apr</v>
      </c>
      <c r="K194" s="4">
        <f t="shared" ref="K194:K257" si="7">YEAR(B194)</f>
        <v>2024</v>
      </c>
    </row>
    <row r="195" spans="1:11" x14ac:dyDescent="0.3">
      <c r="A195" s="4" t="s">
        <v>237</v>
      </c>
      <c r="B195" s="8">
        <v>45398</v>
      </c>
      <c r="C195" s="4" t="s">
        <v>40</v>
      </c>
      <c r="D195" s="4" t="s">
        <v>41</v>
      </c>
      <c r="E195" s="4" t="s">
        <v>12</v>
      </c>
      <c r="F195" s="4" t="s">
        <v>47</v>
      </c>
      <c r="G195" s="4">
        <v>2</v>
      </c>
      <c r="H195" s="2">
        <v>2199</v>
      </c>
      <c r="I195" s="2">
        <v>4398</v>
      </c>
      <c r="J195" s="2" t="str">
        <f t="shared" si="6"/>
        <v>Apr</v>
      </c>
      <c r="K195" s="4">
        <f t="shared" si="7"/>
        <v>2024</v>
      </c>
    </row>
    <row r="196" spans="1:11" x14ac:dyDescent="0.3">
      <c r="A196" s="4" t="s">
        <v>238</v>
      </c>
      <c r="B196" s="8">
        <v>45398</v>
      </c>
      <c r="C196" s="4" t="s">
        <v>57</v>
      </c>
      <c r="D196" s="4" t="s">
        <v>31</v>
      </c>
      <c r="E196" s="4" t="s">
        <v>24</v>
      </c>
      <c r="F196" s="4" t="s">
        <v>25</v>
      </c>
      <c r="G196" s="4">
        <v>1</v>
      </c>
      <c r="H196" s="2">
        <v>1299</v>
      </c>
      <c r="I196" s="2">
        <v>1299</v>
      </c>
      <c r="J196" s="2" t="str">
        <f t="shared" si="6"/>
        <v>Apr</v>
      </c>
      <c r="K196" s="4">
        <f t="shared" si="7"/>
        <v>2024</v>
      </c>
    </row>
    <row r="197" spans="1:11" x14ac:dyDescent="0.3">
      <c r="A197" s="4" t="s">
        <v>239</v>
      </c>
      <c r="B197" s="8">
        <v>45400</v>
      </c>
      <c r="C197" s="4" t="s">
        <v>15</v>
      </c>
      <c r="D197" s="4" t="s">
        <v>16</v>
      </c>
      <c r="E197" s="4" t="s">
        <v>12</v>
      </c>
      <c r="F197" s="4" t="s">
        <v>18</v>
      </c>
      <c r="G197" s="4">
        <v>7</v>
      </c>
      <c r="H197" s="2">
        <v>1799.1</v>
      </c>
      <c r="I197" s="2">
        <v>12593.7</v>
      </c>
      <c r="J197" s="2" t="str">
        <f t="shared" si="6"/>
        <v>Apr</v>
      </c>
      <c r="K197" s="4">
        <f t="shared" si="7"/>
        <v>2024</v>
      </c>
    </row>
    <row r="198" spans="1:11" x14ac:dyDescent="0.3">
      <c r="A198" s="4" t="s">
        <v>240</v>
      </c>
      <c r="B198" s="8">
        <v>45400</v>
      </c>
      <c r="C198" s="4" t="s">
        <v>59</v>
      </c>
      <c r="D198" s="4" t="s">
        <v>41</v>
      </c>
      <c r="E198" s="4" t="s">
        <v>35</v>
      </c>
      <c r="F198" s="4" t="s">
        <v>18</v>
      </c>
      <c r="G198" s="4">
        <v>5</v>
      </c>
      <c r="H198" s="2">
        <v>1274.1500000000001</v>
      </c>
      <c r="I198" s="2">
        <v>6370.75</v>
      </c>
      <c r="J198" s="2" t="str">
        <f t="shared" si="6"/>
        <v>Apr</v>
      </c>
      <c r="K198" s="4">
        <f t="shared" si="7"/>
        <v>2024</v>
      </c>
    </row>
    <row r="199" spans="1:11" x14ac:dyDescent="0.3">
      <c r="A199" s="4" t="s">
        <v>241</v>
      </c>
      <c r="B199" s="8">
        <v>45400</v>
      </c>
      <c r="C199" s="4" t="s">
        <v>23</v>
      </c>
      <c r="D199" s="4" t="s">
        <v>16</v>
      </c>
      <c r="E199" s="4" t="s">
        <v>12</v>
      </c>
      <c r="F199" s="4" t="s">
        <v>47</v>
      </c>
      <c r="G199" s="4">
        <v>7</v>
      </c>
      <c r="H199" s="2">
        <v>2499</v>
      </c>
      <c r="I199" s="2">
        <v>17493</v>
      </c>
      <c r="J199" s="2" t="str">
        <f t="shared" si="6"/>
        <v>Apr</v>
      </c>
      <c r="K199" s="4">
        <f t="shared" si="7"/>
        <v>2024</v>
      </c>
    </row>
    <row r="200" spans="1:11" x14ac:dyDescent="0.3">
      <c r="A200" s="4" t="s">
        <v>242</v>
      </c>
      <c r="B200" s="8">
        <v>45400</v>
      </c>
      <c r="C200" s="4" t="s">
        <v>70</v>
      </c>
      <c r="D200" s="4" t="s">
        <v>28</v>
      </c>
      <c r="E200" s="4" t="s">
        <v>35</v>
      </c>
      <c r="F200" s="4" t="s">
        <v>13</v>
      </c>
      <c r="G200" s="4">
        <v>3</v>
      </c>
      <c r="H200" s="2">
        <v>1199</v>
      </c>
      <c r="I200" s="2">
        <v>3597</v>
      </c>
      <c r="J200" s="2" t="str">
        <f t="shared" si="6"/>
        <v>Apr</v>
      </c>
      <c r="K200" s="4">
        <f t="shared" si="7"/>
        <v>2024</v>
      </c>
    </row>
    <row r="201" spans="1:11" x14ac:dyDescent="0.3">
      <c r="A201" s="4" t="s">
        <v>243</v>
      </c>
      <c r="B201" s="8">
        <v>45401</v>
      </c>
      <c r="C201" s="4" t="s">
        <v>52</v>
      </c>
      <c r="D201" s="4" t="s">
        <v>31</v>
      </c>
      <c r="E201" s="4" t="s">
        <v>17</v>
      </c>
      <c r="F201" s="4" t="s">
        <v>32</v>
      </c>
      <c r="G201" s="4">
        <v>7</v>
      </c>
      <c r="H201" s="2">
        <v>3999</v>
      </c>
      <c r="I201" s="2">
        <v>27993</v>
      </c>
      <c r="J201" s="2" t="str">
        <f t="shared" si="6"/>
        <v>Apr</v>
      </c>
      <c r="K201" s="4">
        <f t="shared" si="7"/>
        <v>2024</v>
      </c>
    </row>
    <row r="202" spans="1:11" x14ac:dyDescent="0.3">
      <c r="A202" s="4" t="s">
        <v>244</v>
      </c>
      <c r="B202" s="8">
        <v>45402</v>
      </c>
      <c r="C202" s="4" t="s">
        <v>27</v>
      </c>
      <c r="D202" s="4" t="s">
        <v>28</v>
      </c>
      <c r="E202" s="4" t="s">
        <v>35</v>
      </c>
      <c r="F202" s="4" t="s">
        <v>25</v>
      </c>
      <c r="G202" s="4">
        <v>6</v>
      </c>
      <c r="H202" s="2">
        <v>3499</v>
      </c>
      <c r="I202" s="2">
        <v>20994</v>
      </c>
      <c r="J202" s="2" t="str">
        <f t="shared" si="6"/>
        <v>Apr</v>
      </c>
      <c r="K202" s="4">
        <f t="shared" si="7"/>
        <v>2024</v>
      </c>
    </row>
    <row r="203" spans="1:11" x14ac:dyDescent="0.3">
      <c r="A203" s="4" t="s">
        <v>245</v>
      </c>
      <c r="B203" s="8">
        <v>45402</v>
      </c>
      <c r="C203" s="4" t="s">
        <v>64</v>
      </c>
      <c r="D203" s="4" t="s">
        <v>41</v>
      </c>
      <c r="E203" s="4" t="s">
        <v>12</v>
      </c>
      <c r="F203" s="4" t="s">
        <v>18</v>
      </c>
      <c r="G203" s="4">
        <v>4</v>
      </c>
      <c r="H203" s="2">
        <v>1799</v>
      </c>
      <c r="I203" s="2">
        <v>7196</v>
      </c>
      <c r="J203" s="2" t="str">
        <f t="shared" si="6"/>
        <v>Apr</v>
      </c>
      <c r="K203" s="4">
        <f t="shared" si="7"/>
        <v>2024</v>
      </c>
    </row>
    <row r="204" spans="1:11" x14ac:dyDescent="0.3">
      <c r="A204" s="4" t="s">
        <v>246</v>
      </c>
      <c r="B204" s="8">
        <v>45402</v>
      </c>
      <c r="C204" s="4" t="s">
        <v>37</v>
      </c>
      <c r="D204" s="4" t="s">
        <v>16</v>
      </c>
      <c r="E204" s="4" t="s">
        <v>24</v>
      </c>
      <c r="F204" s="4" t="s">
        <v>18</v>
      </c>
      <c r="G204" s="4">
        <v>7</v>
      </c>
      <c r="H204" s="2">
        <v>899</v>
      </c>
      <c r="I204" s="2">
        <v>6293</v>
      </c>
      <c r="J204" s="2" t="str">
        <f t="shared" si="6"/>
        <v>Apr</v>
      </c>
      <c r="K204" s="4">
        <f t="shared" si="7"/>
        <v>2024</v>
      </c>
    </row>
    <row r="205" spans="1:11" x14ac:dyDescent="0.3">
      <c r="A205" s="4" t="s">
        <v>247</v>
      </c>
      <c r="B205" s="8">
        <v>45403</v>
      </c>
      <c r="C205" s="4" t="s">
        <v>15</v>
      </c>
      <c r="D205" s="4" t="s">
        <v>16</v>
      </c>
      <c r="E205" s="4" t="s">
        <v>17</v>
      </c>
      <c r="F205" s="4" t="s">
        <v>47</v>
      </c>
      <c r="G205" s="4">
        <v>6</v>
      </c>
      <c r="H205" s="2">
        <v>1999</v>
      </c>
      <c r="I205" s="2">
        <v>11994</v>
      </c>
      <c r="J205" s="2" t="str">
        <f t="shared" si="6"/>
        <v>Apr</v>
      </c>
      <c r="K205" s="4">
        <f t="shared" si="7"/>
        <v>2024</v>
      </c>
    </row>
    <row r="206" spans="1:11" x14ac:dyDescent="0.3">
      <c r="A206" s="4" t="s">
        <v>248</v>
      </c>
      <c r="B206" s="8">
        <v>45403</v>
      </c>
      <c r="C206" s="4" t="s">
        <v>70</v>
      </c>
      <c r="D206" s="4" t="s">
        <v>28</v>
      </c>
      <c r="E206" s="4" t="s">
        <v>12</v>
      </c>
      <c r="F206" s="4" t="s">
        <v>32</v>
      </c>
      <c r="G206" s="4">
        <v>5</v>
      </c>
      <c r="H206" s="2">
        <v>1139.05</v>
      </c>
      <c r="I206" s="2">
        <v>5695.25</v>
      </c>
      <c r="J206" s="2" t="str">
        <f t="shared" si="6"/>
        <v>Apr</v>
      </c>
      <c r="K206" s="4">
        <f t="shared" si="7"/>
        <v>2024</v>
      </c>
    </row>
    <row r="207" spans="1:11" x14ac:dyDescent="0.3">
      <c r="A207" s="4" t="s">
        <v>249</v>
      </c>
      <c r="B207" s="8">
        <v>45403</v>
      </c>
      <c r="C207" s="4" t="s">
        <v>67</v>
      </c>
      <c r="D207" s="4" t="s">
        <v>11</v>
      </c>
      <c r="E207" s="4" t="s">
        <v>24</v>
      </c>
      <c r="F207" s="4" t="s">
        <v>21</v>
      </c>
      <c r="G207" s="4">
        <v>3</v>
      </c>
      <c r="H207" s="2">
        <v>349</v>
      </c>
      <c r="I207" s="2">
        <v>1047</v>
      </c>
      <c r="J207" s="2" t="str">
        <f t="shared" si="6"/>
        <v>Apr</v>
      </c>
      <c r="K207" s="4">
        <f t="shared" si="7"/>
        <v>2024</v>
      </c>
    </row>
    <row r="208" spans="1:11" x14ac:dyDescent="0.3">
      <c r="A208" s="4" t="s">
        <v>250</v>
      </c>
      <c r="B208" s="8">
        <v>45404</v>
      </c>
      <c r="C208" s="4" t="s">
        <v>37</v>
      </c>
      <c r="D208" s="4" t="s">
        <v>16</v>
      </c>
      <c r="E208" s="4" t="s">
        <v>24</v>
      </c>
      <c r="F208" s="4" t="s">
        <v>18</v>
      </c>
      <c r="G208" s="4">
        <v>3</v>
      </c>
      <c r="H208" s="2">
        <v>899</v>
      </c>
      <c r="I208" s="2">
        <v>2697</v>
      </c>
      <c r="J208" s="2" t="str">
        <f t="shared" si="6"/>
        <v>Apr</v>
      </c>
      <c r="K208" s="4">
        <f t="shared" si="7"/>
        <v>2024</v>
      </c>
    </row>
    <row r="209" spans="1:11" x14ac:dyDescent="0.3">
      <c r="A209" s="4" t="s">
        <v>251</v>
      </c>
      <c r="B209" s="8">
        <v>45404</v>
      </c>
      <c r="C209" s="4" t="s">
        <v>15</v>
      </c>
      <c r="D209" s="4" t="s">
        <v>16</v>
      </c>
      <c r="E209" s="4" t="s">
        <v>24</v>
      </c>
      <c r="F209" s="4" t="s">
        <v>21</v>
      </c>
      <c r="G209" s="4">
        <v>6</v>
      </c>
      <c r="H209" s="2">
        <v>1999</v>
      </c>
      <c r="I209" s="2">
        <v>11994</v>
      </c>
      <c r="J209" s="2" t="str">
        <f t="shared" si="6"/>
        <v>Apr</v>
      </c>
      <c r="K209" s="4">
        <f t="shared" si="7"/>
        <v>2024</v>
      </c>
    </row>
    <row r="210" spans="1:11" x14ac:dyDescent="0.3">
      <c r="A210" s="4" t="s">
        <v>252</v>
      </c>
      <c r="B210" s="8">
        <v>45404</v>
      </c>
      <c r="C210" s="4" t="s">
        <v>57</v>
      </c>
      <c r="D210" s="4" t="s">
        <v>31</v>
      </c>
      <c r="E210" s="4" t="s">
        <v>12</v>
      </c>
      <c r="F210" s="4" t="s">
        <v>21</v>
      </c>
      <c r="G210" s="4">
        <v>1</v>
      </c>
      <c r="H210" s="2">
        <v>1299</v>
      </c>
      <c r="I210" s="2">
        <v>1299</v>
      </c>
      <c r="J210" s="2" t="str">
        <f t="shared" si="6"/>
        <v>Apr</v>
      </c>
      <c r="K210" s="4">
        <f t="shared" si="7"/>
        <v>2024</v>
      </c>
    </row>
    <row r="211" spans="1:11" x14ac:dyDescent="0.3">
      <c r="A211" s="4" t="s">
        <v>253</v>
      </c>
      <c r="B211" s="8">
        <v>45404</v>
      </c>
      <c r="C211" s="4" t="s">
        <v>57</v>
      </c>
      <c r="D211" s="4" t="s">
        <v>31</v>
      </c>
      <c r="E211" s="4" t="s">
        <v>35</v>
      </c>
      <c r="F211" s="4" t="s">
        <v>21</v>
      </c>
      <c r="G211" s="4">
        <v>1</v>
      </c>
      <c r="H211" s="2">
        <v>1104.1500000000001</v>
      </c>
      <c r="I211" s="2">
        <v>1104.1500000000001</v>
      </c>
      <c r="J211" s="2" t="str">
        <f t="shared" si="6"/>
        <v>Apr</v>
      </c>
      <c r="K211" s="4">
        <f t="shared" si="7"/>
        <v>2024</v>
      </c>
    </row>
    <row r="212" spans="1:11" x14ac:dyDescent="0.3">
      <c r="A212" s="4" t="s">
        <v>254</v>
      </c>
      <c r="B212" s="8">
        <v>45404</v>
      </c>
      <c r="C212" s="4" t="s">
        <v>59</v>
      </c>
      <c r="D212" s="4" t="s">
        <v>41</v>
      </c>
      <c r="E212" s="4" t="s">
        <v>24</v>
      </c>
      <c r="F212" s="4" t="s">
        <v>13</v>
      </c>
      <c r="G212" s="4">
        <v>4</v>
      </c>
      <c r="H212" s="2">
        <v>1499</v>
      </c>
      <c r="I212" s="2">
        <v>5996</v>
      </c>
      <c r="J212" s="2" t="str">
        <f t="shared" si="6"/>
        <v>Apr</v>
      </c>
      <c r="K212" s="4">
        <f t="shared" si="7"/>
        <v>2024</v>
      </c>
    </row>
    <row r="213" spans="1:11" x14ac:dyDescent="0.3">
      <c r="A213" s="4" t="s">
        <v>255</v>
      </c>
      <c r="B213" s="8">
        <v>45405</v>
      </c>
      <c r="C213" s="4" t="s">
        <v>40</v>
      </c>
      <c r="D213" s="4" t="s">
        <v>41</v>
      </c>
      <c r="E213" s="4" t="s">
        <v>17</v>
      </c>
      <c r="F213" s="4" t="s">
        <v>25</v>
      </c>
      <c r="G213" s="4">
        <v>2</v>
      </c>
      <c r="H213" s="2">
        <v>2199</v>
      </c>
      <c r="I213" s="2">
        <v>4398</v>
      </c>
      <c r="J213" s="2" t="str">
        <f t="shared" si="6"/>
        <v>Apr</v>
      </c>
      <c r="K213" s="4">
        <f t="shared" si="7"/>
        <v>2024</v>
      </c>
    </row>
    <row r="214" spans="1:11" x14ac:dyDescent="0.3">
      <c r="A214" s="4" t="s">
        <v>256</v>
      </c>
      <c r="B214" s="8">
        <v>45405</v>
      </c>
      <c r="C214" s="4" t="s">
        <v>86</v>
      </c>
      <c r="D214" s="4" t="s">
        <v>28</v>
      </c>
      <c r="E214" s="4" t="s">
        <v>17</v>
      </c>
      <c r="F214" s="4" t="s">
        <v>13</v>
      </c>
      <c r="G214" s="4">
        <v>1</v>
      </c>
      <c r="H214" s="2">
        <v>899</v>
      </c>
      <c r="I214" s="2">
        <v>899</v>
      </c>
      <c r="J214" s="2" t="str">
        <f t="shared" si="6"/>
        <v>Apr</v>
      </c>
      <c r="K214" s="4">
        <f t="shared" si="7"/>
        <v>2024</v>
      </c>
    </row>
    <row r="215" spans="1:11" x14ac:dyDescent="0.3">
      <c r="A215" s="4" t="s">
        <v>257</v>
      </c>
      <c r="B215" s="8">
        <v>45407</v>
      </c>
      <c r="C215" s="4" t="s">
        <v>40</v>
      </c>
      <c r="D215" s="4" t="s">
        <v>41</v>
      </c>
      <c r="E215" s="4" t="s">
        <v>17</v>
      </c>
      <c r="F215" s="4" t="s">
        <v>25</v>
      </c>
      <c r="G215" s="4">
        <v>6</v>
      </c>
      <c r="H215" s="2">
        <v>2199</v>
      </c>
      <c r="I215" s="2">
        <v>13194</v>
      </c>
      <c r="J215" s="2" t="str">
        <f t="shared" si="6"/>
        <v>Apr</v>
      </c>
      <c r="K215" s="4">
        <f t="shared" si="7"/>
        <v>2024</v>
      </c>
    </row>
    <row r="216" spans="1:11" x14ac:dyDescent="0.3">
      <c r="A216" s="4" t="s">
        <v>258</v>
      </c>
      <c r="B216" s="8">
        <v>45407</v>
      </c>
      <c r="C216" s="4" t="s">
        <v>50</v>
      </c>
      <c r="D216" s="4" t="s">
        <v>41</v>
      </c>
      <c r="E216" s="4" t="s">
        <v>17</v>
      </c>
      <c r="F216" s="4" t="s">
        <v>18</v>
      </c>
      <c r="G216" s="4">
        <v>1</v>
      </c>
      <c r="H216" s="2">
        <v>849.15</v>
      </c>
      <c r="I216" s="2">
        <v>849.15</v>
      </c>
      <c r="J216" s="2" t="str">
        <f t="shared" si="6"/>
        <v>Apr</v>
      </c>
      <c r="K216" s="4">
        <f t="shared" si="7"/>
        <v>2024</v>
      </c>
    </row>
    <row r="217" spans="1:11" x14ac:dyDescent="0.3">
      <c r="A217" s="4" t="s">
        <v>259</v>
      </c>
      <c r="B217" s="8">
        <v>45407</v>
      </c>
      <c r="C217" s="4" t="s">
        <v>70</v>
      </c>
      <c r="D217" s="4" t="s">
        <v>28</v>
      </c>
      <c r="E217" s="4" t="s">
        <v>17</v>
      </c>
      <c r="F217" s="4" t="s">
        <v>47</v>
      </c>
      <c r="G217" s="4">
        <v>4</v>
      </c>
      <c r="H217" s="2">
        <v>1199</v>
      </c>
      <c r="I217" s="2">
        <v>4796</v>
      </c>
      <c r="J217" s="2" t="str">
        <f t="shared" si="6"/>
        <v>Apr</v>
      </c>
      <c r="K217" s="4">
        <f t="shared" si="7"/>
        <v>2024</v>
      </c>
    </row>
    <row r="218" spans="1:11" x14ac:dyDescent="0.3">
      <c r="A218" s="4" t="s">
        <v>260</v>
      </c>
      <c r="B218" s="8">
        <v>45407</v>
      </c>
      <c r="C218" s="4" t="s">
        <v>57</v>
      </c>
      <c r="D218" s="4" t="s">
        <v>31</v>
      </c>
      <c r="E218" s="4" t="s">
        <v>24</v>
      </c>
      <c r="F218" s="4" t="s">
        <v>47</v>
      </c>
      <c r="G218" s="4">
        <v>6</v>
      </c>
      <c r="H218" s="2">
        <v>1234.05</v>
      </c>
      <c r="I218" s="2">
        <v>7404.3</v>
      </c>
      <c r="J218" s="2" t="str">
        <f t="shared" si="6"/>
        <v>Apr</v>
      </c>
      <c r="K218" s="4">
        <f t="shared" si="7"/>
        <v>2024</v>
      </c>
    </row>
    <row r="219" spans="1:11" x14ac:dyDescent="0.3">
      <c r="A219" s="4" t="s">
        <v>261</v>
      </c>
      <c r="B219" s="8">
        <v>45408</v>
      </c>
      <c r="C219" s="4" t="s">
        <v>72</v>
      </c>
      <c r="D219" s="4" t="s">
        <v>16</v>
      </c>
      <c r="E219" s="4" t="s">
        <v>35</v>
      </c>
      <c r="F219" s="4" t="s">
        <v>32</v>
      </c>
      <c r="G219" s="4">
        <v>8</v>
      </c>
      <c r="H219" s="2">
        <v>1799</v>
      </c>
      <c r="I219" s="2">
        <v>14392</v>
      </c>
      <c r="J219" s="2" t="str">
        <f t="shared" si="6"/>
        <v>Apr</v>
      </c>
      <c r="K219" s="4">
        <f t="shared" si="7"/>
        <v>2024</v>
      </c>
    </row>
    <row r="220" spans="1:11" x14ac:dyDescent="0.3">
      <c r="A220" s="4" t="s">
        <v>262</v>
      </c>
      <c r="B220" s="8">
        <v>45408</v>
      </c>
      <c r="C220" s="4" t="s">
        <v>72</v>
      </c>
      <c r="D220" s="4" t="s">
        <v>16</v>
      </c>
      <c r="E220" s="4" t="s">
        <v>35</v>
      </c>
      <c r="F220" s="4" t="s">
        <v>13</v>
      </c>
      <c r="G220" s="4">
        <v>4</v>
      </c>
      <c r="H220" s="2">
        <v>1799</v>
      </c>
      <c r="I220" s="2">
        <v>7196</v>
      </c>
      <c r="J220" s="2" t="str">
        <f t="shared" si="6"/>
        <v>Apr</v>
      </c>
      <c r="K220" s="4">
        <f t="shared" si="7"/>
        <v>2024</v>
      </c>
    </row>
    <row r="221" spans="1:11" x14ac:dyDescent="0.3">
      <c r="A221" s="4" t="s">
        <v>263</v>
      </c>
      <c r="B221" s="8">
        <v>45408</v>
      </c>
      <c r="C221" s="4" t="s">
        <v>52</v>
      </c>
      <c r="D221" s="4" t="s">
        <v>31</v>
      </c>
      <c r="E221" s="4" t="s">
        <v>35</v>
      </c>
      <c r="F221" s="4" t="s">
        <v>18</v>
      </c>
      <c r="G221" s="4">
        <v>2</v>
      </c>
      <c r="H221" s="2">
        <v>3999</v>
      </c>
      <c r="I221" s="2">
        <v>7998</v>
      </c>
      <c r="J221" s="2" t="str">
        <f t="shared" si="6"/>
        <v>Apr</v>
      </c>
      <c r="K221" s="4">
        <f t="shared" si="7"/>
        <v>2024</v>
      </c>
    </row>
    <row r="222" spans="1:11" x14ac:dyDescent="0.3">
      <c r="A222" s="4" t="s">
        <v>264</v>
      </c>
      <c r="B222" s="8">
        <v>45408</v>
      </c>
      <c r="C222" s="4" t="s">
        <v>59</v>
      </c>
      <c r="D222" s="4" t="s">
        <v>41</v>
      </c>
      <c r="E222" s="4" t="s">
        <v>24</v>
      </c>
      <c r="F222" s="4" t="s">
        <v>32</v>
      </c>
      <c r="G222" s="4">
        <v>7</v>
      </c>
      <c r="H222" s="2">
        <v>1499</v>
      </c>
      <c r="I222" s="2">
        <v>10493</v>
      </c>
      <c r="J222" s="2" t="str">
        <f t="shared" si="6"/>
        <v>Apr</v>
      </c>
      <c r="K222" s="4">
        <f t="shared" si="7"/>
        <v>2024</v>
      </c>
    </row>
    <row r="223" spans="1:11" x14ac:dyDescent="0.3">
      <c r="A223" s="4" t="s">
        <v>265</v>
      </c>
      <c r="B223" s="8">
        <v>45409</v>
      </c>
      <c r="C223" s="4" t="s">
        <v>67</v>
      </c>
      <c r="D223" s="4" t="s">
        <v>11</v>
      </c>
      <c r="E223" s="4" t="s">
        <v>24</v>
      </c>
      <c r="F223" s="4" t="s">
        <v>21</v>
      </c>
      <c r="G223" s="4">
        <v>7</v>
      </c>
      <c r="H223" s="2">
        <v>314.10000000000002</v>
      </c>
      <c r="I223" s="2">
        <v>2198.6999999999998</v>
      </c>
      <c r="J223" s="2" t="str">
        <f t="shared" si="6"/>
        <v>Apr</v>
      </c>
      <c r="K223" s="4">
        <f t="shared" si="7"/>
        <v>2024</v>
      </c>
    </row>
    <row r="224" spans="1:11" x14ac:dyDescent="0.3">
      <c r="A224" s="4" t="s">
        <v>266</v>
      </c>
      <c r="B224" s="8">
        <v>45411</v>
      </c>
      <c r="C224" s="4" t="s">
        <v>50</v>
      </c>
      <c r="D224" s="4" t="s">
        <v>41</v>
      </c>
      <c r="E224" s="4" t="s">
        <v>24</v>
      </c>
      <c r="F224" s="4" t="s">
        <v>32</v>
      </c>
      <c r="G224" s="4">
        <v>6</v>
      </c>
      <c r="H224" s="2">
        <v>999</v>
      </c>
      <c r="I224" s="2">
        <v>5994</v>
      </c>
      <c r="J224" s="2" t="str">
        <f t="shared" si="6"/>
        <v>Apr</v>
      </c>
      <c r="K224" s="4">
        <f t="shared" si="7"/>
        <v>2024</v>
      </c>
    </row>
    <row r="225" spans="1:11" x14ac:dyDescent="0.3">
      <c r="A225" s="4" t="s">
        <v>267</v>
      </c>
      <c r="B225" s="8">
        <v>45411</v>
      </c>
      <c r="C225" s="4" t="s">
        <v>15</v>
      </c>
      <c r="D225" s="4" t="s">
        <v>16</v>
      </c>
      <c r="E225" s="4" t="s">
        <v>24</v>
      </c>
      <c r="F225" s="4" t="s">
        <v>32</v>
      </c>
      <c r="G225" s="4">
        <v>7</v>
      </c>
      <c r="H225" s="2">
        <v>1999</v>
      </c>
      <c r="I225" s="2">
        <v>13993</v>
      </c>
      <c r="J225" s="2" t="str">
        <f t="shared" si="6"/>
        <v>Apr</v>
      </c>
      <c r="K225" s="4">
        <f t="shared" si="7"/>
        <v>2024</v>
      </c>
    </row>
    <row r="226" spans="1:11" x14ac:dyDescent="0.3">
      <c r="A226" s="4" t="s">
        <v>268</v>
      </c>
      <c r="B226" s="8">
        <v>45411</v>
      </c>
      <c r="C226" s="4" t="s">
        <v>57</v>
      </c>
      <c r="D226" s="4" t="s">
        <v>31</v>
      </c>
      <c r="E226" s="4" t="s">
        <v>12</v>
      </c>
      <c r="F226" s="4" t="s">
        <v>18</v>
      </c>
      <c r="G226" s="4">
        <v>1</v>
      </c>
      <c r="H226" s="2">
        <v>1104.1500000000001</v>
      </c>
      <c r="I226" s="2">
        <v>1104.1500000000001</v>
      </c>
      <c r="J226" s="2" t="str">
        <f t="shared" si="6"/>
        <v>Apr</v>
      </c>
      <c r="K226" s="4">
        <f t="shared" si="7"/>
        <v>2024</v>
      </c>
    </row>
    <row r="227" spans="1:11" x14ac:dyDescent="0.3">
      <c r="A227" s="4" t="s">
        <v>269</v>
      </c>
      <c r="B227" s="8">
        <v>45412</v>
      </c>
      <c r="C227" s="4" t="s">
        <v>10</v>
      </c>
      <c r="D227" s="4" t="s">
        <v>11</v>
      </c>
      <c r="E227" s="4" t="s">
        <v>35</v>
      </c>
      <c r="F227" s="4" t="s">
        <v>47</v>
      </c>
      <c r="G227" s="4">
        <v>8</v>
      </c>
      <c r="H227" s="2">
        <v>299</v>
      </c>
      <c r="I227" s="2">
        <v>2392</v>
      </c>
      <c r="J227" s="2" t="str">
        <f t="shared" si="6"/>
        <v>Apr</v>
      </c>
      <c r="K227" s="4">
        <f t="shared" si="7"/>
        <v>2024</v>
      </c>
    </row>
    <row r="228" spans="1:11" x14ac:dyDescent="0.3">
      <c r="A228" s="4" t="s">
        <v>270</v>
      </c>
      <c r="B228" s="8">
        <v>45413</v>
      </c>
      <c r="C228" s="4" t="s">
        <v>50</v>
      </c>
      <c r="D228" s="4" t="s">
        <v>41</v>
      </c>
      <c r="E228" s="4" t="s">
        <v>35</v>
      </c>
      <c r="F228" s="4" t="s">
        <v>13</v>
      </c>
      <c r="G228" s="4">
        <v>3</v>
      </c>
      <c r="H228" s="2">
        <v>999</v>
      </c>
      <c r="I228" s="2">
        <v>2997</v>
      </c>
      <c r="J228" s="2" t="str">
        <f t="shared" si="6"/>
        <v>May</v>
      </c>
      <c r="K228" s="4">
        <f t="shared" si="7"/>
        <v>2024</v>
      </c>
    </row>
    <row r="229" spans="1:11" x14ac:dyDescent="0.3">
      <c r="A229" s="4" t="s">
        <v>271</v>
      </c>
      <c r="B229" s="8">
        <v>45413</v>
      </c>
      <c r="C229" s="4" t="s">
        <v>37</v>
      </c>
      <c r="D229" s="4" t="s">
        <v>16</v>
      </c>
      <c r="E229" s="4" t="s">
        <v>17</v>
      </c>
      <c r="F229" s="4" t="s">
        <v>32</v>
      </c>
      <c r="G229" s="4">
        <v>3</v>
      </c>
      <c r="H229" s="2">
        <v>899</v>
      </c>
      <c r="I229" s="2">
        <v>2697</v>
      </c>
      <c r="J229" s="2" t="str">
        <f t="shared" si="6"/>
        <v>May</v>
      </c>
      <c r="K229" s="4">
        <f t="shared" si="7"/>
        <v>2024</v>
      </c>
    </row>
    <row r="230" spans="1:11" x14ac:dyDescent="0.3">
      <c r="A230" s="4" t="s">
        <v>272</v>
      </c>
      <c r="B230" s="8">
        <v>45415</v>
      </c>
      <c r="C230" s="4" t="s">
        <v>70</v>
      </c>
      <c r="D230" s="4" t="s">
        <v>28</v>
      </c>
      <c r="E230" s="4" t="s">
        <v>24</v>
      </c>
      <c r="F230" s="4" t="s">
        <v>13</v>
      </c>
      <c r="G230" s="4">
        <v>4</v>
      </c>
      <c r="H230" s="2">
        <v>1199</v>
      </c>
      <c r="I230" s="2">
        <v>4796</v>
      </c>
      <c r="J230" s="2" t="str">
        <f t="shared" si="6"/>
        <v>May</v>
      </c>
      <c r="K230" s="4">
        <f t="shared" si="7"/>
        <v>2024</v>
      </c>
    </row>
    <row r="231" spans="1:11" x14ac:dyDescent="0.3">
      <c r="A231" s="4" t="s">
        <v>273</v>
      </c>
      <c r="B231" s="8">
        <v>45415</v>
      </c>
      <c r="C231" s="4" t="s">
        <v>67</v>
      </c>
      <c r="D231" s="4" t="s">
        <v>11</v>
      </c>
      <c r="E231" s="4" t="s">
        <v>17</v>
      </c>
      <c r="F231" s="4" t="s">
        <v>21</v>
      </c>
      <c r="G231" s="4">
        <v>5</v>
      </c>
      <c r="H231" s="2">
        <v>349</v>
      </c>
      <c r="I231" s="2">
        <v>1745</v>
      </c>
      <c r="J231" s="2" t="str">
        <f t="shared" si="6"/>
        <v>May</v>
      </c>
      <c r="K231" s="4">
        <f t="shared" si="7"/>
        <v>2024</v>
      </c>
    </row>
    <row r="232" spans="1:11" x14ac:dyDescent="0.3">
      <c r="A232" s="4" t="s">
        <v>274</v>
      </c>
      <c r="B232" s="8">
        <v>45416</v>
      </c>
      <c r="C232" s="4" t="s">
        <v>50</v>
      </c>
      <c r="D232" s="4" t="s">
        <v>41</v>
      </c>
      <c r="E232" s="4" t="s">
        <v>12</v>
      </c>
      <c r="F232" s="4" t="s">
        <v>25</v>
      </c>
      <c r="G232" s="4">
        <v>5</v>
      </c>
      <c r="H232" s="2">
        <v>999</v>
      </c>
      <c r="I232" s="2">
        <v>4995</v>
      </c>
      <c r="J232" s="2" t="str">
        <f t="shared" si="6"/>
        <v>May</v>
      </c>
      <c r="K232" s="4">
        <f t="shared" si="7"/>
        <v>2024</v>
      </c>
    </row>
    <row r="233" spans="1:11" x14ac:dyDescent="0.3">
      <c r="A233" s="4" t="s">
        <v>275</v>
      </c>
      <c r="B233" s="8">
        <v>45416</v>
      </c>
      <c r="C233" s="4" t="s">
        <v>15</v>
      </c>
      <c r="D233" s="4" t="s">
        <v>16</v>
      </c>
      <c r="E233" s="4" t="s">
        <v>24</v>
      </c>
      <c r="F233" s="4" t="s">
        <v>47</v>
      </c>
      <c r="G233" s="4">
        <v>2</v>
      </c>
      <c r="H233" s="2">
        <v>1899.05</v>
      </c>
      <c r="I233" s="2">
        <v>3798.1</v>
      </c>
      <c r="J233" s="2" t="str">
        <f t="shared" si="6"/>
        <v>May</v>
      </c>
      <c r="K233" s="4">
        <f t="shared" si="7"/>
        <v>2024</v>
      </c>
    </row>
    <row r="234" spans="1:11" x14ac:dyDescent="0.3">
      <c r="A234" s="4" t="s">
        <v>276</v>
      </c>
      <c r="B234" s="8">
        <v>45416</v>
      </c>
      <c r="C234" s="4" t="s">
        <v>34</v>
      </c>
      <c r="D234" s="4" t="s">
        <v>28</v>
      </c>
      <c r="E234" s="4" t="s">
        <v>24</v>
      </c>
      <c r="F234" s="4" t="s">
        <v>21</v>
      </c>
      <c r="G234" s="4">
        <v>6</v>
      </c>
      <c r="H234" s="2">
        <v>799</v>
      </c>
      <c r="I234" s="2">
        <v>4794</v>
      </c>
      <c r="J234" s="2" t="str">
        <f t="shared" si="6"/>
        <v>May</v>
      </c>
      <c r="K234" s="4">
        <f t="shared" si="7"/>
        <v>2024</v>
      </c>
    </row>
    <row r="235" spans="1:11" x14ac:dyDescent="0.3">
      <c r="A235" s="4" t="s">
        <v>277</v>
      </c>
      <c r="B235" s="8">
        <v>45417</v>
      </c>
      <c r="C235" s="4" t="s">
        <v>40</v>
      </c>
      <c r="D235" s="4" t="s">
        <v>41</v>
      </c>
      <c r="E235" s="4" t="s">
        <v>12</v>
      </c>
      <c r="F235" s="4" t="s">
        <v>13</v>
      </c>
      <c r="G235" s="4">
        <v>3</v>
      </c>
      <c r="H235" s="2">
        <v>2199</v>
      </c>
      <c r="I235" s="2">
        <v>6597</v>
      </c>
      <c r="J235" s="2" t="str">
        <f t="shared" si="6"/>
        <v>May</v>
      </c>
      <c r="K235" s="4">
        <f t="shared" si="7"/>
        <v>2024</v>
      </c>
    </row>
    <row r="236" spans="1:11" x14ac:dyDescent="0.3">
      <c r="A236" s="4" t="s">
        <v>278</v>
      </c>
      <c r="B236" s="8">
        <v>45417</v>
      </c>
      <c r="C236" s="4" t="s">
        <v>40</v>
      </c>
      <c r="D236" s="4" t="s">
        <v>41</v>
      </c>
      <c r="E236" s="4" t="s">
        <v>12</v>
      </c>
      <c r="F236" s="4" t="s">
        <v>21</v>
      </c>
      <c r="G236" s="4">
        <v>5</v>
      </c>
      <c r="H236" s="2">
        <v>2089.0500000000002</v>
      </c>
      <c r="I236" s="2">
        <v>10445.25</v>
      </c>
      <c r="J236" s="2" t="str">
        <f t="shared" si="6"/>
        <v>May</v>
      </c>
      <c r="K236" s="4">
        <f t="shared" si="7"/>
        <v>2024</v>
      </c>
    </row>
    <row r="237" spans="1:11" x14ac:dyDescent="0.3">
      <c r="A237" s="4" t="s">
        <v>279</v>
      </c>
      <c r="B237" s="8">
        <v>45418</v>
      </c>
      <c r="C237" s="4" t="s">
        <v>27</v>
      </c>
      <c r="D237" s="4" t="s">
        <v>28</v>
      </c>
      <c r="E237" s="4" t="s">
        <v>24</v>
      </c>
      <c r="F237" s="4" t="s">
        <v>25</v>
      </c>
      <c r="G237" s="4">
        <v>3</v>
      </c>
      <c r="H237" s="2">
        <v>3149.1</v>
      </c>
      <c r="I237" s="2">
        <v>9447.2999999999993</v>
      </c>
      <c r="J237" s="2" t="str">
        <f t="shared" si="6"/>
        <v>May</v>
      </c>
      <c r="K237" s="4">
        <f t="shared" si="7"/>
        <v>2024</v>
      </c>
    </row>
    <row r="238" spans="1:11" x14ac:dyDescent="0.3">
      <c r="A238" s="4" t="s">
        <v>280</v>
      </c>
      <c r="B238" s="8">
        <v>45418</v>
      </c>
      <c r="C238" s="4" t="s">
        <v>52</v>
      </c>
      <c r="D238" s="4" t="s">
        <v>31</v>
      </c>
      <c r="E238" s="4" t="s">
        <v>24</v>
      </c>
      <c r="F238" s="4" t="s">
        <v>32</v>
      </c>
      <c r="G238" s="4">
        <v>2</v>
      </c>
      <c r="H238" s="2">
        <v>3999</v>
      </c>
      <c r="I238" s="2">
        <v>7998</v>
      </c>
      <c r="J238" s="2" t="str">
        <f t="shared" si="6"/>
        <v>May</v>
      </c>
      <c r="K238" s="4">
        <f t="shared" si="7"/>
        <v>2024</v>
      </c>
    </row>
    <row r="239" spans="1:11" x14ac:dyDescent="0.3">
      <c r="A239" s="4" t="s">
        <v>281</v>
      </c>
      <c r="B239" s="8">
        <v>45419</v>
      </c>
      <c r="C239" s="4" t="s">
        <v>34</v>
      </c>
      <c r="D239" s="4" t="s">
        <v>28</v>
      </c>
      <c r="E239" s="4" t="s">
        <v>12</v>
      </c>
      <c r="F239" s="4" t="s">
        <v>18</v>
      </c>
      <c r="G239" s="4">
        <v>7</v>
      </c>
      <c r="H239" s="2">
        <v>799</v>
      </c>
      <c r="I239" s="2">
        <v>5593</v>
      </c>
      <c r="J239" s="2" t="str">
        <f t="shared" si="6"/>
        <v>May</v>
      </c>
      <c r="K239" s="4">
        <f t="shared" si="7"/>
        <v>2024</v>
      </c>
    </row>
    <row r="240" spans="1:11" x14ac:dyDescent="0.3">
      <c r="A240" s="4" t="s">
        <v>282</v>
      </c>
      <c r="B240" s="8">
        <v>45421</v>
      </c>
      <c r="C240" s="4" t="s">
        <v>86</v>
      </c>
      <c r="D240" s="4" t="s">
        <v>28</v>
      </c>
      <c r="E240" s="4" t="s">
        <v>24</v>
      </c>
      <c r="F240" s="4" t="s">
        <v>47</v>
      </c>
      <c r="G240" s="4">
        <v>1</v>
      </c>
      <c r="H240" s="2">
        <v>809.1</v>
      </c>
      <c r="I240" s="2">
        <v>809.1</v>
      </c>
      <c r="J240" s="2" t="str">
        <f t="shared" si="6"/>
        <v>May</v>
      </c>
      <c r="K240" s="4">
        <f t="shared" si="7"/>
        <v>2024</v>
      </c>
    </row>
    <row r="241" spans="1:11" x14ac:dyDescent="0.3">
      <c r="A241" s="4" t="s">
        <v>283</v>
      </c>
      <c r="B241" s="8">
        <v>45422</v>
      </c>
      <c r="C241" s="4" t="s">
        <v>23</v>
      </c>
      <c r="D241" s="4" t="s">
        <v>16</v>
      </c>
      <c r="E241" s="4" t="s">
        <v>35</v>
      </c>
      <c r="F241" s="4" t="s">
        <v>21</v>
      </c>
      <c r="G241" s="4">
        <v>5</v>
      </c>
      <c r="H241" s="2">
        <v>2499</v>
      </c>
      <c r="I241" s="2">
        <v>12495</v>
      </c>
      <c r="J241" s="2" t="str">
        <f t="shared" si="6"/>
        <v>May</v>
      </c>
      <c r="K241" s="4">
        <f t="shared" si="7"/>
        <v>2024</v>
      </c>
    </row>
    <row r="242" spans="1:11" x14ac:dyDescent="0.3">
      <c r="A242" s="4" t="s">
        <v>284</v>
      </c>
      <c r="B242" s="8">
        <v>45423</v>
      </c>
      <c r="C242" s="4" t="s">
        <v>10</v>
      </c>
      <c r="D242" s="4" t="s">
        <v>11</v>
      </c>
      <c r="E242" s="4" t="s">
        <v>35</v>
      </c>
      <c r="F242" s="4" t="s">
        <v>21</v>
      </c>
      <c r="G242" s="4">
        <v>2</v>
      </c>
      <c r="H242" s="2">
        <v>299</v>
      </c>
      <c r="I242" s="2">
        <v>598</v>
      </c>
      <c r="J242" s="2" t="str">
        <f t="shared" si="6"/>
        <v>May</v>
      </c>
      <c r="K242" s="4">
        <f t="shared" si="7"/>
        <v>2024</v>
      </c>
    </row>
    <row r="243" spans="1:11" x14ac:dyDescent="0.3">
      <c r="A243" s="4" t="s">
        <v>285</v>
      </c>
      <c r="B243" s="8">
        <v>45424</v>
      </c>
      <c r="C243" s="4" t="s">
        <v>52</v>
      </c>
      <c r="D243" s="4" t="s">
        <v>31</v>
      </c>
      <c r="E243" s="4" t="s">
        <v>35</v>
      </c>
      <c r="F243" s="4" t="s">
        <v>18</v>
      </c>
      <c r="G243" s="4">
        <v>1</v>
      </c>
      <c r="H243" s="2">
        <v>3999</v>
      </c>
      <c r="I243" s="2">
        <v>3999</v>
      </c>
      <c r="J243" s="2" t="str">
        <f t="shared" si="6"/>
        <v>May</v>
      </c>
      <c r="K243" s="4">
        <f t="shared" si="7"/>
        <v>2024</v>
      </c>
    </row>
    <row r="244" spans="1:11" x14ac:dyDescent="0.3">
      <c r="A244" s="4" t="s">
        <v>286</v>
      </c>
      <c r="B244" s="8">
        <v>45424</v>
      </c>
      <c r="C244" s="4" t="s">
        <v>15</v>
      </c>
      <c r="D244" s="4" t="s">
        <v>16</v>
      </c>
      <c r="E244" s="4" t="s">
        <v>24</v>
      </c>
      <c r="F244" s="4" t="s">
        <v>32</v>
      </c>
      <c r="G244" s="4">
        <v>1</v>
      </c>
      <c r="H244" s="2">
        <v>1999</v>
      </c>
      <c r="I244" s="2">
        <v>1999</v>
      </c>
      <c r="J244" s="2" t="str">
        <f t="shared" si="6"/>
        <v>May</v>
      </c>
      <c r="K244" s="4">
        <f t="shared" si="7"/>
        <v>2024</v>
      </c>
    </row>
    <row r="245" spans="1:11" x14ac:dyDescent="0.3">
      <c r="A245" s="4" t="s">
        <v>287</v>
      </c>
      <c r="B245" s="8">
        <v>45425</v>
      </c>
      <c r="C245" s="4" t="s">
        <v>59</v>
      </c>
      <c r="D245" s="4" t="s">
        <v>41</v>
      </c>
      <c r="E245" s="4" t="s">
        <v>24</v>
      </c>
      <c r="F245" s="4" t="s">
        <v>21</v>
      </c>
      <c r="G245" s="4">
        <v>6</v>
      </c>
      <c r="H245" s="2">
        <v>1424.05</v>
      </c>
      <c r="I245" s="2">
        <v>8544.2999999999993</v>
      </c>
      <c r="J245" s="2" t="str">
        <f t="shared" si="6"/>
        <v>May</v>
      </c>
      <c r="K245" s="4">
        <f t="shared" si="7"/>
        <v>2024</v>
      </c>
    </row>
    <row r="246" spans="1:11" x14ac:dyDescent="0.3">
      <c r="A246" s="4" t="s">
        <v>288</v>
      </c>
      <c r="B246" s="8">
        <v>45425</v>
      </c>
      <c r="C246" s="4" t="s">
        <v>30</v>
      </c>
      <c r="D246" s="4" t="s">
        <v>31</v>
      </c>
      <c r="E246" s="4" t="s">
        <v>12</v>
      </c>
      <c r="F246" s="4" t="s">
        <v>47</v>
      </c>
      <c r="G246" s="4">
        <v>6</v>
      </c>
      <c r="H246" s="2">
        <v>4049.1</v>
      </c>
      <c r="I246" s="2">
        <v>24294.6</v>
      </c>
      <c r="J246" s="2" t="str">
        <f t="shared" si="6"/>
        <v>May</v>
      </c>
      <c r="K246" s="4">
        <f t="shared" si="7"/>
        <v>2024</v>
      </c>
    </row>
    <row r="247" spans="1:11" x14ac:dyDescent="0.3">
      <c r="A247" s="4" t="s">
        <v>289</v>
      </c>
      <c r="B247" s="8">
        <v>45426</v>
      </c>
      <c r="C247" s="4" t="s">
        <v>15</v>
      </c>
      <c r="D247" s="4" t="s">
        <v>16</v>
      </c>
      <c r="E247" s="4" t="s">
        <v>35</v>
      </c>
      <c r="F247" s="4" t="s">
        <v>18</v>
      </c>
      <c r="G247" s="4">
        <v>4</v>
      </c>
      <c r="H247" s="2">
        <v>1999</v>
      </c>
      <c r="I247" s="2">
        <v>7996</v>
      </c>
      <c r="J247" s="2" t="str">
        <f t="shared" si="6"/>
        <v>May</v>
      </c>
      <c r="K247" s="4">
        <f t="shared" si="7"/>
        <v>2024</v>
      </c>
    </row>
    <row r="248" spans="1:11" x14ac:dyDescent="0.3">
      <c r="A248" s="4" t="s">
        <v>290</v>
      </c>
      <c r="B248" s="8">
        <v>45427</v>
      </c>
      <c r="C248" s="4" t="s">
        <v>40</v>
      </c>
      <c r="D248" s="4" t="s">
        <v>41</v>
      </c>
      <c r="E248" s="4" t="s">
        <v>24</v>
      </c>
      <c r="F248" s="4" t="s">
        <v>13</v>
      </c>
      <c r="G248" s="4">
        <v>3</v>
      </c>
      <c r="H248" s="2">
        <v>2199</v>
      </c>
      <c r="I248" s="2">
        <v>6597</v>
      </c>
      <c r="J248" s="2" t="str">
        <f t="shared" si="6"/>
        <v>May</v>
      </c>
      <c r="K248" s="4">
        <f t="shared" si="7"/>
        <v>2024</v>
      </c>
    </row>
    <row r="249" spans="1:11" x14ac:dyDescent="0.3">
      <c r="A249" s="4" t="s">
        <v>291</v>
      </c>
      <c r="B249" s="8">
        <v>45427</v>
      </c>
      <c r="C249" s="4" t="s">
        <v>37</v>
      </c>
      <c r="D249" s="4" t="s">
        <v>16</v>
      </c>
      <c r="E249" s="4" t="s">
        <v>17</v>
      </c>
      <c r="F249" s="4" t="s">
        <v>18</v>
      </c>
      <c r="G249" s="4">
        <v>8</v>
      </c>
      <c r="H249" s="2">
        <v>899</v>
      </c>
      <c r="I249" s="2">
        <v>7192</v>
      </c>
      <c r="J249" s="2" t="str">
        <f t="shared" si="6"/>
        <v>May</v>
      </c>
      <c r="K249" s="4">
        <f t="shared" si="7"/>
        <v>2024</v>
      </c>
    </row>
    <row r="250" spans="1:11" x14ac:dyDescent="0.3">
      <c r="A250" s="4" t="s">
        <v>292</v>
      </c>
      <c r="B250" s="8">
        <v>45428</v>
      </c>
      <c r="C250" s="4" t="s">
        <v>70</v>
      </c>
      <c r="D250" s="4" t="s">
        <v>28</v>
      </c>
      <c r="E250" s="4" t="s">
        <v>24</v>
      </c>
      <c r="F250" s="4" t="s">
        <v>25</v>
      </c>
      <c r="G250" s="4">
        <v>6</v>
      </c>
      <c r="H250" s="2">
        <v>1019.15</v>
      </c>
      <c r="I250" s="2">
        <v>6114.9</v>
      </c>
      <c r="J250" s="2" t="str">
        <f t="shared" si="6"/>
        <v>May</v>
      </c>
      <c r="K250" s="4">
        <f t="shared" si="7"/>
        <v>2024</v>
      </c>
    </row>
    <row r="251" spans="1:11" x14ac:dyDescent="0.3">
      <c r="A251" s="4" t="s">
        <v>293</v>
      </c>
      <c r="B251" s="8">
        <v>45429</v>
      </c>
      <c r="C251" s="4" t="s">
        <v>45</v>
      </c>
      <c r="D251" s="4" t="s">
        <v>16</v>
      </c>
      <c r="E251" s="4" t="s">
        <v>35</v>
      </c>
      <c r="F251" s="4" t="s">
        <v>21</v>
      </c>
      <c r="G251" s="4">
        <v>2</v>
      </c>
      <c r="H251" s="2">
        <v>5499</v>
      </c>
      <c r="I251" s="2">
        <v>10998</v>
      </c>
      <c r="J251" s="2" t="str">
        <f t="shared" si="6"/>
        <v>May</v>
      </c>
      <c r="K251" s="4">
        <f t="shared" si="7"/>
        <v>2024</v>
      </c>
    </row>
    <row r="252" spans="1:11" x14ac:dyDescent="0.3">
      <c r="A252" s="4" t="s">
        <v>294</v>
      </c>
      <c r="B252" s="8">
        <v>45430</v>
      </c>
      <c r="C252" s="4" t="s">
        <v>45</v>
      </c>
      <c r="D252" s="4" t="s">
        <v>16</v>
      </c>
      <c r="E252" s="4" t="s">
        <v>12</v>
      </c>
      <c r="F252" s="4" t="s">
        <v>13</v>
      </c>
      <c r="G252" s="4">
        <v>1</v>
      </c>
      <c r="H252" s="2">
        <v>5499</v>
      </c>
      <c r="I252" s="2">
        <v>5499</v>
      </c>
      <c r="J252" s="2" t="str">
        <f t="shared" si="6"/>
        <v>May</v>
      </c>
      <c r="K252" s="4">
        <f t="shared" si="7"/>
        <v>2024</v>
      </c>
    </row>
    <row r="253" spans="1:11" x14ac:dyDescent="0.3">
      <c r="A253" s="4" t="s">
        <v>295</v>
      </c>
      <c r="B253" s="8">
        <v>45430</v>
      </c>
      <c r="C253" s="4" t="s">
        <v>64</v>
      </c>
      <c r="D253" s="4" t="s">
        <v>41</v>
      </c>
      <c r="E253" s="4" t="s">
        <v>12</v>
      </c>
      <c r="F253" s="4" t="s">
        <v>32</v>
      </c>
      <c r="G253" s="4">
        <v>3</v>
      </c>
      <c r="H253" s="2">
        <v>1619.1</v>
      </c>
      <c r="I253" s="2">
        <v>4857.3</v>
      </c>
      <c r="J253" s="2" t="str">
        <f t="shared" si="6"/>
        <v>May</v>
      </c>
      <c r="K253" s="4">
        <f t="shared" si="7"/>
        <v>2024</v>
      </c>
    </row>
    <row r="254" spans="1:11" x14ac:dyDescent="0.3">
      <c r="A254" s="4" t="s">
        <v>296</v>
      </c>
      <c r="B254" s="8">
        <v>45431</v>
      </c>
      <c r="C254" s="4" t="s">
        <v>30</v>
      </c>
      <c r="D254" s="4" t="s">
        <v>31</v>
      </c>
      <c r="E254" s="4" t="s">
        <v>24</v>
      </c>
      <c r="F254" s="4" t="s">
        <v>32</v>
      </c>
      <c r="G254" s="4">
        <v>6</v>
      </c>
      <c r="H254" s="2">
        <v>4499</v>
      </c>
      <c r="I254" s="2">
        <v>26994</v>
      </c>
      <c r="J254" s="2" t="str">
        <f t="shared" si="6"/>
        <v>May</v>
      </c>
      <c r="K254" s="4">
        <f t="shared" si="7"/>
        <v>2024</v>
      </c>
    </row>
    <row r="255" spans="1:11" x14ac:dyDescent="0.3">
      <c r="A255" s="4" t="s">
        <v>297</v>
      </c>
      <c r="B255" s="8">
        <v>45432</v>
      </c>
      <c r="C255" s="4" t="s">
        <v>23</v>
      </c>
      <c r="D255" s="4" t="s">
        <v>16</v>
      </c>
      <c r="E255" s="4" t="s">
        <v>35</v>
      </c>
      <c r="F255" s="4" t="s">
        <v>32</v>
      </c>
      <c r="G255" s="4">
        <v>1</v>
      </c>
      <c r="H255" s="2">
        <v>2249.1</v>
      </c>
      <c r="I255" s="2">
        <v>2249.1</v>
      </c>
      <c r="J255" s="2" t="str">
        <f t="shared" si="6"/>
        <v>May</v>
      </c>
      <c r="K255" s="4">
        <f t="shared" si="7"/>
        <v>2024</v>
      </c>
    </row>
    <row r="256" spans="1:11" x14ac:dyDescent="0.3">
      <c r="A256" s="4" t="s">
        <v>298</v>
      </c>
      <c r="B256" s="8">
        <v>45432</v>
      </c>
      <c r="C256" s="4" t="s">
        <v>20</v>
      </c>
      <c r="D256" s="4" t="s">
        <v>11</v>
      </c>
      <c r="E256" s="4" t="s">
        <v>12</v>
      </c>
      <c r="F256" s="4" t="s">
        <v>47</v>
      </c>
      <c r="G256" s="4">
        <v>3</v>
      </c>
      <c r="H256" s="2">
        <v>399</v>
      </c>
      <c r="I256" s="2">
        <v>1197</v>
      </c>
      <c r="J256" s="2" t="str">
        <f t="shared" si="6"/>
        <v>May</v>
      </c>
      <c r="K256" s="4">
        <f t="shared" si="7"/>
        <v>2024</v>
      </c>
    </row>
    <row r="257" spans="1:11" x14ac:dyDescent="0.3">
      <c r="A257" s="4" t="s">
        <v>299</v>
      </c>
      <c r="B257" s="8">
        <v>45433</v>
      </c>
      <c r="C257" s="4" t="s">
        <v>37</v>
      </c>
      <c r="D257" s="4" t="s">
        <v>16</v>
      </c>
      <c r="E257" s="4" t="s">
        <v>17</v>
      </c>
      <c r="F257" s="4" t="s">
        <v>47</v>
      </c>
      <c r="G257" s="4">
        <v>5</v>
      </c>
      <c r="H257" s="2">
        <v>899</v>
      </c>
      <c r="I257" s="2">
        <v>4495</v>
      </c>
      <c r="J257" s="2" t="str">
        <f t="shared" si="6"/>
        <v>May</v>
      </c>
      <c r="K257" s="4">
        <f t="shared" si="7"/>
        <v>2024</v>
      </c>
    </row>
    <row r="258" spans="1:11" x14ac:dyDescent="0.3">
      <c r="A258" s="4" t="s">
        <v>300</v>
      </c>
      <c r="B258" s="8">
        <v>45434</v>
      </c>
      <c r="C258" s="4" t="s">
        <v>52</v>
      </c>
      <c r="D258" s="4" t="s">
        <v>31</v>
      </c>
      <c r="E258" s="4" t="s">
        <v>17</v>
      </c>
      <c r="F258" s="4" t="s">
        <v>32</v>
      </c>
      <c r="G258" s="4">
        <v>1</v>
      </c>
      <c r="H258" s="2">
        <v>3599.1</v>
      </c>
      <c r="I258" s="2">
        <v>3599.1</v>
      </c>
      <c r="J258" s="2" t="str">
        <f t="shared" ref="J258:J321" si="8">TEXT(B258,"mmm")</f>
        <v>May</v>
      </c>
      <c r="K258" s="4">
        <f t="shared" ref="K258:K321" si="9">YEAR(B258)</f>
        <v>2024</v>
      </c>
    </row>
    <row r="259" spans="1:11" x14ac:dyDescent="0.3">
      <c r="A259" s="4" t="s">
        <v>301</v>
      </c>
      <c r="B259" s="8">
        <v>45434</v>
      </c>
      <c r="C259" s="4" t="s">
        <v>23</v>
      </c>
      <c r="D259" s="4" t="s">
        <v>16</v>
      </c>
      <c r="E259" s="4" t="s">
        <v>12</v>
      </c>
      <c r="F259" s="4" t="s">
        <v>32</v>
      </c>
      <c r="G259" s="4">
        <v>2</v>
      </c>
      <c r="H259" s="2">
        <v>2499</v>
      </c>
      <c r="I259" s="2">
        <v>4998</v>
      </c>
      <c r="J259" s="2" t="str">
        <f t="shared" si="8"/>
        <v>May</v>
      </c>
      <c r="K259" s="4">
        <f t="shared" si="9"/>
        <v>2024</v>
      </c>
    </row>
    <row r="260" spans="1:11" x14ac:dyDescent="0.3">
      <c r="A260" s="4" t="s">
        <v>302</v>
      </c>
      <c r="B260" s="8">
        <v>45436</v>
      </c>
      <c r="C260" s="4" t="s">
        <v>30</v>
      </c>
      <c r="D260" s="4" t="s">
        <v>31</v>
      </c>
      <c r="E260" s="4" t="s">
        <v>17</v>
      </c>
      <c r="F260" s="4" t="s">
        <v>18</v>
      </c>
      <c r="G260" s="4">
        <v>3</v>
      </c>
      <c r="H260" s="2">
        <v>4274.05</v>
      </c>
      <c r="I260" s="2">
        <v>12822.15</v>
      </c>
      <c r="J260" s="2" t="str">
        <f t="shared" si="8"/>
        <v>May</v>
      </c>
      <c r="K260" s="4">
        <f t="shared" si="9"/>
        <v>2024</v>
      </c>
    </row>
    <row r="261" spans="1:11" x14ac:dyDescent="0.3">
      <c r="A261" s="4" t="s">
        <v>303</v>
      </c>
      <c r="B261" s="8">
        <v>45436</v>
      </c>
      <c r="C261" s="4" t="s">
        <v>52</v>
      </c>
      <c r="D261" s="4" t="s">
        <v>31</v>
      </c>
      <c r="E261" s="4" t="s">
        <v>12</v>
      </c>
      <c r="F261" s="4" t="s">
        <v>25</v>
      </c>
      <c r="G261" s="4">
        <v>5</v>
      </c>
      <c r="H261" s="2">
        <v>3999</v>
      </c>
      <c r="I261" s="2">
        <v>19995</v>
      </c>
      <c r="J261" s="2" t="str">
        <f t="shared" si="8"/>
        <v>May</v>
      </c>
      <c r="K261" s="4">
        <f t="shared" si="9"/>
        <v>2024</v>
      </c>
    </row>
    <row r="262" spans="1:11" x14ac:dyDescent="0.3">
      <c r="A262" s="4" t="s">
        <v>304</v>
      </c>
      <c r="B262" s="8">
        <v>45437</v>
      </c>
      <c r="C262" s="4" t="s">
        <v>70</v>
      </c>
      <c r="D262" s="4" t="s">
        <v>28</v>
      </c>
      <c r="E262" s="4" t="s">
        <v>24</v>
      </c>
      <c r="F262" s="4" t="s">
        <v>32</v>
      </c>
      <c r="G262" s="4">
        <v>1</v>
      </c>
      <c r="H262" s="2">
        <v>1019.15</v>
      </c>
      <c r="I262" s="2">
        <v>1019.15</v>
      </c>
      <c r="J262" s="2" t="str">
        <f t="shared" si="8"/>
        <v>May</v>
      </c>
      <c r="K262" s="4">
        <f t="shared" si="9"/>
        <v>2024</v>
      </c>
    </row>
    <row r="263" spans="1:11" x14ac:dyDescent="0.3">
      <c r="A263" s="4" t="s">
        <v>305</v>
      </c>
      <c r="B263" s="8">
        <v>45437</v>
      </c>
      <c r="C263" s="4" t="s">
        <v>70</v>
      </c>
      <c r="D263" s="4" t="s">
        <v>28</v>
      </c>
      <c r="E263" s="4" t="s">
        <v>35</v>
      </c>
      <c r="F263" s="4" t="s">
        <v>21</v>
      </c>
      <c r="G263" s="4">
        <v>2</v>
      </c>
      <c r="H263" s="2">
        <v>1199</v>
      </c>
      <c r="I263" s="2">
        <v>2398</v>
      </c>
      <c r="J263" s="2" t="str">
        <f t="shared" si="8"/>
        <v>May</v>
      </c>
      <c r="K263" s="4">
        <f t="shared" si="9"/>
        <v>2024</v>
      </c>
    </row>
    <row r="264" spans="1:11" x14ac:dyDescent="0.3">
      <c r="A264" s="4" t="s">
        <v>306</v>
      </c>
      <c r="B264" s="8">
        <v>45437</v>
      </c>
      <c r="C264" s="4" t="s">
        <v>34</v>
      </c>
      <c r="D264" s="4" t="s">
        <v>28</v>
      </c>
      <c r="E264" s="4" t="s">
        <v>24</v>
      </c>
      <c r="F264" s="4" t="s">
        <v>21</v>
      </c>
      <c r="G264" s="4">
        <v>1</v>
      </c>
      <c r="H264" s="2">
        <v>719.1</v>
      </c>
      <c r="I264" s="2">
        <v>719.1</v>
      </c>
      <c r="J264" s="2" t="str">
        <f t="shared" si="8"/>
        <v>May</v>
      </c>
      <c r="K264" s="4">
        <f t="shared" si="9"/>
        <v>2024</v>
      </c>
    </row>
    <row r="265" spans="1:11" x14ac:dyDescent="0.3">
      <c r="A265" s="4" t="s">
        <v>307</v>
      </c>
      <c r="B265" s="8">
        <v>45438</v>
      </c>
      <c r="C265" s="4" t="s">
        <v>86</v>
      </c>
      <c r="D265" s="4" t="s">
        <v>28</v>
      </c>
      <c r="E265" s="4" t="s">
        <v>17</v>
      </c>
      <c r="F265" s="4" t="s">
        <v>25</v>
      </c>
      <c r="G265" s="4">
        <v>5</v>
      </c>
      <c r="H265" s="2">
        <v>899</v>
      </c>
      <c r="I265" s="2">
        <v>4495</v>
      </c>
      <c r="J265" s="2" t="str">
        <f t="shared" si="8"/>
        <v>May</v>
      </c>
      <c r="K265" s="4">
        <f t="shared" si="9"/>
        <v>2024</v>
      </c>
    </row>
    <row r="266" spans="1:11" x14ac:dyDescent="0.3">
      <c r="A266" s="4" t="s">
        <v>308</v>
      </c>
      <c r="B266" s="8">
        <v>45438</v>
      </c>
      <c r="C266" s="4" t="s">
        <v>86</v>
      </c>
      <c r="D266" s="4" t="s">
        <v>28</v>
      </c>
      <c r="E266" s="4" t="s">
        <v>24</v>
      </c>
      <c r="F266" s="4" t="s">
        <v>25</v>
      </c>
      <c r="G266" s="4">
        <v>6</v>
      </c>
      <c r="H266" s="2">
        <v>899</v>
      </c>
      <c r="I266" s="2">
        <v>5394</v>
      </c>
      <c r="J266" s="2" t="str">
        <f t="shared" si="8"/>
        <v>May</v>
      </c>
      <c r="K266" s="4">
        <f t="shared" si="9"/>
        <v>2024</v>
      </c>
    </row>
    <row r="267" spans="1:11" x14ac:dyDescent="0.3">
      <c r="A267" s="4" t="s">
        <v>309</v>
      </c>
      <c r="B267" s="8">
        <v>45438</v>
      </c>
      <c r="C267" s="4" t="s">
        <v>23</v>
      </c>
      <c r="D267" s="4" t="s">
        <v>16</v>
      </c>
      <c r="E267" s="4" t="s">
        <v>12</v>
      </c>
      <c r="F267" s="4" t="s">
        <v>32</v>
      </c>
      <c r="G267" s="4">
        <v>4</v>
      </c>
      <c r="H267" s="2">
        <v>2249.1</v>
      </c>
      <c r="I267" s="2">
        <v>8996.4</v>
      </c>
      <c r="J267" s="2" t="str">
        <f t="shared" si="8"/>
        <v>May</v>
      </c>
      <c r="K267" s="4">
        <f t="shared" si="9"/>
        <v>2024</v>
      </c>
    </row>
    <row r="268" spans="1:11" x14ac:dyDescent="0.3">
      <c r="A268" s="4" t="s">
        <v>310</v>
      </c>
      <c r="B268" s="8">
        <v>45438</v>
      </c>
      <c r="C268" s="4" t="s">
        <v>34</v>
      </c>
      <c r="D268" s="4" t="s">
        <v>28</v>
      </c>
      <c r="E268" s="4" t="s">
        <v>12</v>
      </c>
      <c r="F268" s="4" t="s">
        <v>13</v>
      </c>
      <c r="G268" s="4">
        <v>4</v>
      </c>
      <c r="H268" s="2">
        <v>799</v>
      </c>
      <c r="I268" s="2">
        <v>3196</v>
      </c>
      <c r="J268" s="2" t="str">
        <f t="shared" si="8"/>
        <v>May</v>
      </c>
      <c r="K268" s="4">
        <f t="shared" si="9"/>
        <v>2024</v>
      </c>
    </row>
    <row r="269" spans="1:11" x14ac:dyDescent="0.3">
      <c r="A269" s="4" t="s">
        <v>311</v>
      </c>
      <c r="B269" s="8">
        <v>45438</v>
      </c>
      <c r="C269" s="4" t="s">
        <v>70</v>
      </c>
      <c r="D269" s="4" t="s">
        <v>28</v>
      </c>
      <c r="E269" s="4" t="s">
        <v>12</v>
      </c>
      <c r="F269" s="4" t="s">
        <v>25</v>
      </c>
      <c r="G269" s="4">
        <v>1</v>
      </c>
      <c r="H269" s="2">
        <v>1199</v>
      </c>
      <c r="I269" s="2">
        <v>1199</v>
      </c>
      <c r="J269" s="2" t="str">
        <f t="shared" si="8"/>
        <v>May</v>
      </c>
      <c r="K269" s="4">
        <f t="shared" si="9"/>
        <v>2024</v>
      </c>
    </row>
    <row r="270" spans="1:11" x14ac:dyDescent="0.3">
      <c r="A270" s="4" t="s">
        <v>312</v>
      </c>
      <c r="B270" s="8">
        <v>45439</v>
      </c>
      <c r="C270" s="4" t="s">
        <v>45</v>
      </c>
      <c r="D270" s="4" t="s">
        <v>16</v>
      </c>
      <c r="E270" s="4" t="s">
        <v>24</v>
      </c>
      <c r="F270" s="4" t="s">
        <v>13</v>
      </c>
      <c r="G270" s="4">
        <v>6</v>
      </c>
      <c r="H270" s="2">
        <v>5499</v>
      </c>
      <c r="I270" s="2">
        <v>32994</v>
      </c>
      <c r="J270" s="2" t="str">
        <f t="shared" si="8"/>
        <v>May</v>
      </c>
      <c r="K270" s="4">
        <f t="shared" si="9"/>
        <v>2024</v>
      </c>
    </row>
    <row r="271" spans="1:11" x14ac:dyDescent="0.3">
      <c r="A271" s="4" t="s">
        <v>313</v>
      </c>
      <c r="B271" s="8">
        <v>45440</v>
      </c>
      <c r="C271" s="4" t="s">
        <v>30</v>
      </c>
      <c r="D271" s="4" t="s">
        <v>31</v>
      </c>
      <c r="E271" s="4" t="s">
        <v>12</v>
      </c>
      <c r="F271" s="4" t="s">
        <v>18</v>
      </c>
      <c r="G271" s="4">
        <v>3</v>
      </c>
      <c r="H271" s="2">
        <v>4499</v>
      </c>
      <c r="I271" s="2">
        <v>13497</v>
      </c>
      <c r="J271" s="2" t="str">
        <f t="shared" si="8"/>
        <v>May</v>
      </c>
      <c r="K271" s="4">
        <f t="shared" si="9"/>
        <v>2024</v>
      </c>
    </row>
    <row r="272" spans="1:11" x14ac:dyDescent="0.3">
      <c r="A272" s="4" t="s">
        <v>314</v>
      </c>
      <c r="B272" s="8">
        <v>45440</v>
      </c>
      <c r="C272" s="4" t="s">
        <v>30</v>
      </c>
      <c r="D272" s="4" t="s">
        <v>31</v>
      </c>
      <c r="E272" s="4" t="s">
        <v>35</v>
      </c>
      <c r="F272" s="4" t="s">
        <v>21</v>
      </c>
      <c r="G272" s="4">
        <v>6</v>
      </c>
      <c r="H272" s="2">
        <v>4499</v>
      </c>
      <c r="I272" s="2">
        <v>26994</v>
      </c>
      <c r="J272" s="2" t="str">
        <f t="shared" si="8"/>
        <v>May</v>
      </c>
      <c r="K272" s="4">
        <f t="shared" si="9"/>
        <v>2024</v>
      </c>
    </row>
    <row r="273" spans="1:11" x14ac:dyDescent="0.3">
      <c r="A273" s="4" t="s">
        <v>315</v>
      </c>
      <c r="B273" s="8">
        <v>45440</v>
      </c>
      <c r="C273" s="4" t="s">
        <v>70</v>
      </c>
      <c r="D273" s="4" t="s">
        <v>28</v>
      </c>
      <c r="E273" s="4" t="s">
        <v>24</v>
      </c>
      <c r="F273" s="4" t="s">
        <v>18</v>
      </c>
      <c r="G273" s="4">
        <v>2</v>
      </c>
      <c r="H273" s="2">
        <v>1199</v>
      </c>
      <c r="I273" s="2">
        <v>2398</v>
      </c>
      <c r="J273" s="2" t="str">
        <f t="shared" si="8"/>
        <v>May</v>
      </c>
      <c r="K273" s="4">
        <f t="shared" si="9"/>
        <v>2024</v>
      </c>
    </row>
    <row r="274" spans="1:11" x14ac:dyDescent="0.3">
      <c r="A274" s="4" t="s">
        <v>316</v>
      </c>
      <c r="B274" s="8">
        <v>45441</v>
      </c>
      <c r="C274" s="4" t="s">
        <v>86</v>
      </c>
      <c r="D274" s="4" t="s">
        <v>28</v>
      </c>
      <c r="E274" s="4" t="s">
        <v>12</v>
      </c>
      <c r="F274" s="4" t="s">
        <v>13</v>
      </c>
      <c r="G274" s="4">
        <v>3</v>
      </c>
      <c r="H274" s="2">
        <v>899</v>
      </c>
      <c r="I274" s="2">
        <v>2697</v>
      </c>
      <c r="J274" s="2" t="str">
        <f t="shared" si="8"/>
        <v>May</v>
      </c>
      <c r="K274" s="4">
        <f t="shared" si="9"/>
        <v>2024</v>
      </c>
    </row>
    <row r="275" spans="1:11" x14ac:dyDescent="0.3">
      <c r="A275" s="4" t="s">
        <v>317</v>
      </c>
      <c r="B275" s="8">
        <v>45441</v>
      </c>
      <c r="C275" s="4" t="s">
        <v>67</v>
      </c>
      <c r="D275" s="4" t="s">
        <v>11</v>
      </c>
      <c r="E275" s="4" t="s">
        <v>17</v>
      </c>
      <c r="F275" s="4" t="s">
        <v>13</v>
      </c>
      <c r="G275" s="4">
        <v>6</v>
      </c>
      <c r="H275" s="2">
        <v>349</v>
      </c>
      <c r="I275" s="2">
        <v>2094</v>
      </c>
      <c r="J275" s="2" t="str">
        <f t="shared" si="8"/>
        <v>May</v>
      </c>
      <c r="K275" s="4">
        <f t="shared" si="9"/>
        <v>2024</v>
      </c>
    </row>
    <row r="276" spans="1:11" x14ac:dyDescent="0.3">
      <c r="A276" s="4" t="s">
        <v>318</v>
      </c>
      <c r="B276" s="8">
        <v>45441</v>
      </c>
      <c r="C276" s="4" t="s">
        <v>20</v>
      </c>
      <c r="D276" s="4" t="s">
        <v>11</v>
      </c>
      <c r="E276" s="4" t="s">
        <v>35</v>
      </c>
      <c r="F276" s="4" t="s">
        <v>18</v>
      </c>
      <c r="G276" s="4">
        <v>4</v>
      </c>
      <c r="H276" s="2">
        <v>399</v>
      </c>
      <c r="I276" s="2">
        <v>1596</v>
      </c>
      <c r="J276" s="2" t="str">
        <f t="shared" si="8"/>
        <v>May</v>
      </c>
      <c r="K276" s="4">
        <f t="shared" si="9"/>
        <v>2024</v>
      </c>
    </row>
    <row r="277" spans="1:11" x14ac:dyDescent="0.3">
      <c r="A277" s="4" t="s">
        <v>319</v>
      </c>
      <c r="B277" s="8">
        <v>45442</v>
      </c>
      <c r="C277" s="4" t="s">
        <v>64</v>
      </c>
      <c r="D277" s="4" t="s">
        <v>41</v>
      </c>
      <c r="E277" s="4" t="s">
        <v>24</v>
      </c>
      <c r="F277" s="4" t="s">
        <v>47</v>
      </c>
      <c r="G277" s="4">
        <v>2</v>
      </c>
      <c r="H277" s="2">
        <v>1799</v>
      </c>
      <c r="I277" s="2">
        <v>3598</v>
      </c>
      <c r="J277" s="2" t="str">
        <f t="shared" si="8"/>
        <v>May</v>
      </c>
      <c r="K277" s="4">
        <f t="shared" si="9"/>
        <v>2024</v>
      </c>
    </row>
    <row r="278" spans="1:11" x14ac:dyDescent="0.3">
      <c r="A278" s="4" t="s">
        <v>320</v>
      </c>
      <c r="B278" s="8">
        <v>45442</v>
      </c>
      <c r="C278" s="4" t="s">
        <v>50</v>
      </c>
      <c r="D278" s="4" t="s">
        <v>41</v>
      </c>
      <c r="E278" s="4" t="s">
        <v>24</v>
      </c>
      <c r="F278" s="4" t="s">
        <v>25</v>
      </c>
      <c r="G278" s="4">
        <v>2</v>
      </c>
      <c r="H278" s="2">
        <v>999</v>
      </c>
      <c r="I278" s="2">
        <v>1998</v>
      </c>
      <c r="J278" s="2" t="str">
        <f t="shared" si="8"/>
        <v>May</v>
      </c>
      <c r="K278" s="4">
        <f t="shared" si="9"/>
        <v>2024</v>
      </c>
    </row>
    <row r="279" spans="1:11" x14ac:dyDescent="0.3">
      <c r="A279" s="4" t="s">
        <v>321</v>
      </c>
      <c r="B279" s="8">
        <v>45442</v>
      </c>
      <c r="C279" s="4" t="s">
        <v>72</v>
      </c>
      <c r="D279" s="4" t="s">
        <v>16</v>
      </c>
      <c r="E279" s="4" t="s">
        <v>17</v>
      </c>
      <c r="F279" s="4" t="s">
        <v>13</v>
      </c>
      <c r="G279" s="4">
        <v>1</v>
      </c>
      <c r="H279" s="2">
        <v>1799</v>
      </c>
      <c r="I279" s="2">
        <v>1799</v>
      </c>
      <c r="J279" s="2" t="str">
        <f t="shared" si="8"/>
        <v>May</v>
      </c>
      <c r="K279" s="4">
        <f t="shared" si="9"/>
        <v>2024</v>
      </c>
    </row>
    <row r="280" spans="1:11" x14ac:dyDescent="0.3">
      <c r="A280" s="4" t="s">
        <v>322</v>
      </c>
      <c r="B280" s="8">
        <v>45443</v>
      </c>
      <c r="C280" s="4" t="s">
        <v>45</v>
      </c>
      <c r="D280" s="4" t="s">
        <v>16</v>
      </c>
      <c r="E280" s="4" t="s">
        <v>24</v>
      </c>
      <c r="F280" s="4" t="s">
        <v>25</v>
      </c>
      <c r="G280" s="4">
        <v>1</v>
      </c>
      <c r="H280" s="2">
        <v>5499</v>
      </c>
      <c r="I280" s="2">
        <v>5499</v>
      </c>
      <c r="J280" s="2" t="str">
        <f t="shared" si="8"/>
        <v>May</v>
      </c>
      <c r="K280" s="4">
        <f t="shared" si="9"/>
        <v>2024</v>
      </c>
    </row>
    <row r="281" spans="1:11" x14ac:dyDescent="0.3">
      <c r="A281" s="4" t="s">
        <v>323</v>
      </c>
      <c r="B281" s="8">
        <v>45443</v>
      </c>
      <c r="C281" s="4" t="s">
        <v>72</v>
      </c>
      <c r="D281" s="4" t="s">
        <v>16</v>
      </c>
      <c r="E281" s="4" t="s">
        <v>12</v>
      </c>
      <c r="F281" s="4" t="s">
        <v>13</v>
      </c>
      <c r="G281" s="4">
        <v>1</v>
      </c>
      <c r="H281" s="2">
        <v>1799</v>
      </c>
      <c r="I281" s="2">
        <v>1799</v>
      </c>
      <c r="J281" s="2" t="str">
        <f t="shared" si="8"/>
        <v>May</v>
      </c>
      <c r="K281" s="4">
        <f t="shared" si="9"/>
        <v>2024</v>
      </c>
    </row>
    <row r="282" spans="1:11" x14ac:dyDescent="0.3">
      <c r="A282" s="4" t="s">
        <v>324</v>
      </c>
      <c r="B282" s="8">
        <v>45443</v>
      </c>
      <c r="C282" s="4" t="s">
        <v>86</v>
      </c>
      <c r="D282" s="4" t="s">
        <v>28</v>
      </c>
      <c r="E282" s="4" t="s">
        <v>12</v>
      </c>
      <c r="F282" s="4" t="s">
        <v>13</v>
      </c>
      <c r="G282" s="4">
        <v>4</v>
      </c>
      <c r="H282" s="2">
        <v>899</v>
      </c>
      <c r="I282" s="2">
        <v>3596</v>
      </c>
      <c r="J282" s="2" t="str">
        <f t="shared" si="8"/>
        <v>May</v>
      </c>
      <c r="K282" s="4">
        <f t="shared" si="9"/>
        <v>2024</v>
      </c>
    </row>
    <row r="283" spans="1:11" x14ac:dyDescent="0.3">
      <c r="A283" s="4" t="s">
        <v>325</v>
      </c>
      <c r="B283" s="8">
        <v>45443</v>
      </c>
      <c r="C283" s="4" t="s">
        <v>30</v>
      </c>
      <c r="D283" s="4" t="s">
        <v>31</v>
      </c>
      <c r="E283" s="4" t="s">
        <v>17</v>
      </c>
      <c r="F283" s="4" t="s">
        <v>18</v>
      </c>
      <c r="G283" s="4">
        <v>8</v>
      </c>
      <c r="H283" s="2">
        <v>4049.1</v>
      </c>
      <c r="I283" s="2">
        <v>32392.799999999999</v>
      </c>
      <c r="J283" s="2" t="str">
        <f t="shared" si="8"/>
        <v>May</v>
      </c>
      <c r="K283" s="4">
        <f t="shared" si="9"/>
        <v>2024</v>
      </c>
    </row>
    <row r="284" spans="1:11" x14ac:dyDescent="0.3">
      <c r="A284" s="4" t="s">
        <v>326</v>
      </c>
      <c r="B284" s="8">
        <v>45444</v>
      </c>
      <c r="C284" s="4" t="s">
        <v>64</v>
      </c>
      <c r="D284" s="4" t="s">
        <v>41</v>
      </c>
      <c r="E284" s="4" t="s">
        <v>12</v>
      </c>
      <c r="F284" s="4" t="s">
        <v>32</v>
      </c>
      <c r="G284" s="4">
        <v>5</v>
      </c>
      <c r="H284" s="2">
        <v>1799</v>
      </c>
      <c r="I284" s="2">
        <v>8995</v>
      </c>
      <c r="J284" s="2" t="str">
        <f t="shared" si="8"/>
        <v>Jun</v>
      </c>
      <c r="K284" s="4">
        <f t="shared" si="9"/>
        <v>2024</v>
      </c>
    </row>
    <row r="285" spans="1:11" x14ac:dyDescent="0.3">
      <c r="A285" s="4" t="s">
        <v>327</v>
      </c>
      <c r="B285" s="8">
        <v>45444</v>
      </c>
      <c r="C285" s="4" t="s">
        <v>23</v>
      </c>
      <c r="D285" s="4" t="s">
        <v>16</v>
      </c>
      <c r="E285" s="4" t="s">
        <v>35</v>
      </c>
      <c r="F285" s="4" t="s">
        <v>25</v>
      </c>
      <c r="G285" s="4">
        <v>1</v>
      </c>
      <c r="H285" s="2">
        <v>2499</v>
      </c>
      <c r="I285" s="2">
        <v>2499</v>
      </c>
      <c r="J285" s="2" t="str">
        <f t="shared" si="8"/>
        <v>Jun</v>
      </c>
      <c r="K285" s="4">
        <f t="shared" si="9"/>
        <v>2024</v>
      </c>
    </row>
    <row r="286" spans="1:11" x14ac:dyDescent="0.3">
      <c r="A286" s="4" t="s">
        <v>328</v>
      </c>
      <c r="B286" s="8">
        <v>45444</v>
      </c>
      <c r="C286" s="4" t="s">
        <v>34</v>
      </c>
      <c r="D286" s="4" t="s">
        <v>28</v>
      </c>
      <c r="E286" s="4" t="s">
        <v>17</v>
      </c>
      <c r="F286" s="4" t="s">
        <v>47</v>
      </c>
      <c r="G286" s="4">
        <v>5</v>
      </c>
      <c r="H286" s="2">
        <v>799</v>
      </c>
      <c r="I286" s="2">
        <v>3995</v>
      </c>
      <c r="J286" s="2" t="str">
        <f t="shared" si="8"/>
        <v>Jun</v>
      </c>
      <c r="K286" s="4">
        <f t="shared" si="9"/>
        <v>2024</v>
      </c>
    </row>
    <row r="287" spans="1:11" x14ac:dyDescent="0.3">
      <c r="A287" s="4" t="s">
        <v>329</v>
      </c>
      <c r="B287" s="8">
        <v>45445</v>
      </c>
      <c r="C287" s="4" t="s">
        <v>107</v>
      </c>
      <c r="D287" s="4" t="s">
        <v>31</v>
      </c>
      <c r="E287" s="4" t="s">
        <v>24</v>
      </c>
      <c r="F287" s="4" t="s">
        <v>13</v>
      </c>
      <c r="G287" s="4">
        <v>7</v>
      </c>
      <c r="H287" s="2">
        <v>2969.1</v>
      </c>
      <c r="I287" s="2">
        <v>20783.7</v>
      </c>
      <c r="J287" s="2" t="str">
        <f t="shared" si="8"/>
        <v>Jun</v>
      </c>
      <c r="K287" s="4">
        <f t="shared" si="9"/>
        <v>2024</v>
      </c>
    </row>
    <row r="288" spans="1:11" x14ac:dyDescent="0.3">
      <c r="A288" s="4" t="s">
        <v>330</v>
      </c>
      <c r="B288" s="8">
        <v>45447</v>
      </c>
      <c r="C288" s="4" t="s">
        <v>59</v>
      </c>
      <c r="D288" s="4" t="s">
        <v>41</v>
      </c>
      <c r="E288" s="4" t="s">
        <v>17</v>
      </c>
      <c r="F288" s="4" t="s">
        <v>13</v>
      </c>
      <c r="G288" s="4">
        <v>2</v>
      </c>
      <c r="H288" s="2">
        <v>1499</v>
      </c>
      <c r="I288" s="2">
        <v>2998</v>
      </c>
      <c r="J288" s="2" t="str">
        <f t="shared" si="8"/>
        <v>Jun</v>
      </c>
      <c r="K288" s="4">
        <f t="shared" si="9"/>
        <v>2024</v>
      </c>
    </row>
    <row r="289" spans="1:11" x14ac:dyDescent="0.3">
      <c r="A289" s="4" t="s">
        <v>331</v>
      </c>
      <c r="B289" s="8">
        <v>45447</v>
      </c>
      <c r="C289" s="4" t="s">
        <v>70</v>
      </c>
      <c r="D289" s="4" t="s">
        <v>28</v>
      </c>
      <c r="E289" s="4" t="s">
        <v>24</v>
      </c>
      <c r="F289" s="4" t="s">
        <v>18</v>
      </c>
      <c r="G289" s="4">
        <v>4</v>
      </c>
      <c r="H289" s="2">
        <v>1139.05</v>
      </c>
      <c r="I289" s="2">
        <v>4556.2</v>
      </c>
      <c r="J289" s="2" t="str">
        <f t="shared" si="8"/>
        <v>Jun</v>
      </c>
      <c r="K289" s="4">
        <f t="shared" si="9"/>
        <v>2024</v>
      </c>
    </row>
    <row r="290" spans="1:11" x14ac:dyDescent="0.3">
      <c r="A290" s="4" t="s">
        <v>332</v>
      </c>
      <c r="B290" s="8">
        <v>45447</v>
      </c>
      <c r="C290" s="4" t="s">
        <v>23</v>
      </c>
      <c r="D290" s="4" t="s">
        <v>16</v>
      </c>
      <c r="E290" s="4" t="s">
        <v>24</v>
      </c>
      <c r="F290" s="4" t="s">
        <v>25</v>
      </c>
      <c r="G290" s="4">
        <v>2</v>
      </c>
      <c r="H290" s="2">
        <v>2499</v>
      </c>
      <c r="I290" s="2">
        <v>4998</v>
      </c>
      <c r="J290" s="2" t="str">
        <f t="shared" si="8"/>
        <v>Jun</v>
      </c>
      <c r="K290" s="4">
        <f t="shared" si="9"/>
        <v>2024</v>
      </c>
    </row>
    <row r="291" spans="1:11" x14ac:dyDescent="0.3">
      <c r="A291" s="4" t="s">
        <v>333</v>
      </c>
      <c r="B291" s="8">
        <v>45448</v>
      </c>
      <c r="C291" s="4" t="s">
        <v>72</v>
      </c>
      <c r="D291" s="4" t="s">
        <v>16</v>
      </c>
      <c r="E291" s="4" t="s">
        <v>35</v>
      </c>
      <c r="F291" s="4" t="s">
        <v>32</v>
      </c>
      <c r="G291" s="4">
        <v>6</v>
      </c>
      <c r="H291" s="2">
        <v>1799</v>
      </c>
      <c r="I291" s="2">
        <v>10794</v>
      </c>
      <c r="J291" s="2" t="str">
        <f t="shared" si="8"/>
        <v>Jun</v>
      </c>
      <c r="K291" s="4">
        <f t="shared" si="9"/>
        <v>2024</v>
      </c>
    </row>
    <row r="292" spans="1:11" x14ac:dyDescent="0.3">
      <c r="A292" s="4" t="s">
        <v>334</v>
      </c>
      <c r="B292" s="8">
        <v>45448</v>
      </c>
      <c r="C292" s="4" t="s">
        <v>40</v>
      </c>
      <c r="D292" s="4" t="s">
        <v>41</v>
      </c>
      <c r="E292" s="4" t="s">
        <v>24</v>
      </c>
      <c r="F292" s="4" t="s">
        <v>47</v>
      </c>
      <c r="G292" s="4">
        <v>9</v>
      </c>
      <c r="H292" s="2">
        <v>2199</v>
      </c>
      <c r="I292" s="2">
        <v>19791</v>
      </c>
      <c r="J292" s="2" t="str">
        <f t="shared" si="8"/>
        <v>Jun</v>
      </c>
      <c r="K292" s="4">
        <f t="shared" si="9"/>
        <v>2024</v>
      </c>
    </row>
    <row r="293" spans="1:11" x14ac:dyDescent="0.3">
      <c r="A293" s="4" t="s">
        <v>335</v>
      </c>
      <c r="B293" s="8">
        <v>45449</v>
      </c>
      <c r="C293" s="4" t="s">
        <v>20</v>
      </c>
      <c r="D293" s="4" t="s">
        <v>11</v>
      </c>
      <c r="E293" s="4" t="s">
        <v>24</v>
      </c>
      <c r="F293" s="4" t="s">
        <v>21</v>
      </c>
      <c r="G293" s="4">
        <v>4</v>
      </c>
      <c r="H293" s="2">
        <v>399</v>
      </c>
      <c r="I293" s="2">
        <v>1596</v>
      </c>
      <c r="J293" s="2" t="str">
        <f t="shared" si="8"/>
        <v>Jun</v>
      </c>
      <c r="K293" s="4">
        <f t="shared" si="9"/>
        <v>2024</v>
      </c>
    </row>
    <row r="294" spans="1:11" x14ac:dyDescent="0.3">
      <c r="A294" s="4" t="s">
        <v>336</v>
      </c>
      <c r="B294" s="8">
        <v>45449</v>
      </c>
      <c r="C294" s="4" t="s">
        <v>27</v>
      </c>
      <c r="D294" s="4" t="s">
        <v>28</v>
      </c>
      <c r="E294" s="4" t="s">
        <v>17</v>
      </c>
      <c r="F294" s="4" t="s">
        <v>13</v>
      </c>
      <c r="G294" s="4">
        <v>3</v>
      </c>
      <c r="H294" s="2">
        <v>3149.1</v>
      </c>
      <c r="I294" s="2">
        <v>9447.2999999999993</v>
      </c>
      <c r="J294" s="2" t="str">
        <f t="shared" si="8"/>
        <v>Jun</v>
      </c>
      <c r="K294" s="4">
        <f t="shared" si="9"/>
        <v>2024</v>
      </c>
    </row>
    <row r="295" spans="1:11" x14ac:dyDescent="0.3">
      <c r="A295" s="4" t="s">
        <v>337</v>
      </c>
      <c r="B295" s="8">
        <v>45449</v>
      </c>
      <c r="C295" s="4" t="s">
        <v>20</v>
      </c>
      <c r="D295" s="4" t="s">
        <v>11</v>
      </c>
      <c r="E295" s="4" t="s">
        <v>12</v>
      </c>
      <c r="F295" s="4" t="s">
        <v>32</v>
      </c>
      <c r="G295" s="4">
        <v>5</v>
      </c>
      <c r="H295" s="2">
        <v>399</v>
      </c>
      <c r="I295" s="2">
        <v>1995</v>
      </c>
      <c r="J295" s="2" t="str">
        <f t="shared" si="8"/>
        <v>Jun</v>
      </c>
      <c r="K295" s="4">
        <f t="shared" si="9"/>
        <v>2024</v>
      </c>
    </row>
    <row r="296" spans="1:11" x14ac:dyDescent="0.3">
      <c r="A296" s="4" t="s">
        <v>338</v>
      </c>
      <c r="B296" s="8">
        <v>45451</v>
      </c>
      <c r="C296" s="4" t="s">
        <v>40</v>
      </c>
      <c r="D296" s="4" t="s">
        <v>41</v>
      </c>
      <c r="E296" s="4" t="s">
        <v>17</v>
      </c>
      <c r="F296" s="4" t="s">
        <v>32</v>
      </c>
      <c r="G296" s="4">
        <v>2</v>
      </c>
      <c r="H296" s="2">
        <v>2089.0500000000002</v>
      </c>
      <c r="I296" s="2">
        <v>4178.1000000000004</v>
      </c>
      <c r="J296" s="2" t="str">
        <f t="shared" si="8"/>
        <v>Jun</v>
      </c>
      <c r="K296" s="4">
        <f t="shared" si="9"/>
        <v>2024</v>
      </c>
    </row>
    <row r="297" spans="1:11" x14ac:dyDescent="0.3">
      <c r="A297" s="4" t="s">
        <v>339</v>
      </c>
      <c r="B297" s="8">
        <v>45451</v>
      </c>
      <c r="C297" s="4" t="s">
        <v>57</v>
      </c>
      <c r="D297" s="4" t="s">
        <v>31</v>
      </c>
      <c r="E297" s="4" t="s">
        <v>24</v>
      </c>
      <c r="F297" s="4" t="s">
        <v>21</v>
      </c>
      <c r="G297" s="4">
        <v>5</v>
      </c>
      <c r="H297" s="2">
        <v>1234.05</v>
      </c>
      <c r="I297" s="2">
        <v>6170.25</v>
      </c>
      <c r="J297" s="2" t="str">
        <f t="shared" si="8"/>
        <v>Jun</v>
      </c>
      <c r="K297" s="4">
        <f t="shared" si="9"/>
        <v>2024</v>
      </c>
    </row>
    <row r="298" spans="1:11" x14ac:dyDescent="0.3">
      <c r="A298" s="4" t="s">
        <v>340</v>
      </c>
      <c r="B298" s="8">
        <v>45451</v>
      </c>
      <c r="C298" s="4" t="s">
        <v>40</v>
      </c>
      <c r="D298" s="4" t="s">
        <v>41</v>
      </c>
      <c r="E298" s="4" t="s">
        <v>24</v>
      </c>
      <c r="F298" s="4" t="s">
        <v>47</v>
      </c>
      <c r="G298" s="4">
        <v>4</v>
      </c>
      <c r="H298" s="2">
        <v>2089.0500000000002</v>
      </c>
      <c r="I298" s="2">
        <v>8356.2000000000007</v>
      </c>
      <c r="J298" s="2" t="str">
        <f t="shared" si="8"/>
        <v>Jun</v>
      </c>
      <c r="K298" s="4">
        <f t="shared" si="9"/>
        <v>2024</v>
      </c>
    </row>
    <row r="299" spans="1:11" x14ac:dyDescent="0.3">
      <c r="A299" s="4" t="s">
        <v>341</v>
      </c>
      <c r="B299" s="8">
        <v>45452</v>
      </c>
      <c r="C299" s="4" t="s">
        <v>15</v>
      </c>
      <c r="D299" s="4" t="s">
        <v>16</v>
      </c>
      <c r="E299" s="4" t="s">
        <v>24</v>
      </c>
      <c r="F299" s="4" t="s">
        <v>18</v>
      </c>
      <c r="G299" s="4">
        <v>2</v>
      </c>
      <c r="H299" s="2">
        <v>1999</v>
      </c>
      <c r="I299" s="2">
        <v>3998</v>
      </c>
      <c r="J299" s="2" t="str">
        <f t="shared" si="8"/>
        <v>Jun</v>
      </c>
      <c r="K299" s="4">
        <f t="shared" si="9"/>
        <v>2024</v>
      </c>
    </row>
    <row r="300" spans="1:11" x14ac:dyDescent="0.3">
      <c r="A300" s="4" t="s">
        <v>342</v>
      </c>
      <c r="B300" s="8">
        <v>45452</v>
      </c>
      <c r="C300" s="4" t="s">
        <v>59</v>
      </c>
      <c r="D300" s="4" t="s">
        <v>41</v>
      </c>
      <c r="E300" s="4" t="s">
        <v>35</v>
      </c>
      <c r="F300" s="4" t="s">
        <v>32</v>
      </c>
      <c r="G300" s="4">
        <v>3</v>
      </c>
      <c r="H300" s="2">
        <v>1499</v>
      </c>
      <c r="I300" s="2">
        <v>4497</v>
      </c>
      <c r="J300" s="2" t="str">
        <f t="shared" si="8"/>
        <v>Jun</v>
      </c>
      <c r="K300" s="4">
        <f t="shared" si="9"/>
        <v>2024</v>
      </c>
    </row>
    <row r="301" spans="1:11" x14ac:dyDescent="0.3">
      <c r="A301" s="4" t="s">
        <v>343</v>
      </c>
      <c r="B301" s="8">
        <v>45453</v>
      </c>
      <c r="C301" s="4" t="s">
        <v>50</v>
      </c>
      <c r="D301" s="4" t="s">
        <v>41</v>
      </c>
      <c r="E301" s="4" t="s">
        <v>24</v>
      </c>
      <c r="F301" s="4" t="s">
        <v>21</v>
      </c>
      <c r="G301" s="4">
        <v>4</v>
      </c>
      <c r="H301" s="2">
        <v>999</v>
      </c>
      <c r="I301" s="2">
        <v>3996</v>
      </c>
      <c r="J301" s="2" t="str">
        <f t="shared" si="8"/>
        <v>Jun</v>
      </c>
      <c r="K301" s="4">
        <f t="shared" si="9"/>
        <v>2024</v>
      </c>
    </row>
    <row r="302" spans="1:11" x14ac:dyDescent="0.3">
      <c r="A302" s="4" t="s">
        <v>344</v>
      </c>
      <c r="B302" s="8">
        <v>45453</v>
      </c>
      <c r="C302" s="4" t="s">
        <v>52</v>
      </c>
      <c r="D302" s="4" t="s">
        <v>31</v>
      </c>
      <c r="E302" s="4" t="s">
        <v>12</v>
      </c>
      <c r="F302" s="4" t="s">
        <v>21</v>
      </c>
      <c r="G302" s="4">
        <v>8</v>
      </c>
      <c r="H302" s="2">
        <v>3999</v>
      </c>
      <c r="I302" s="2">
        <v>31992</v>
      </c>
      <c r="J302" s="2" t="str">
        <f t="shared" si="8"/>
        <v>Jun</v>
      </c>
      <c r="K302" s="4">
        <f t="shared" si="9"/>
        <v>2024</v>
      </c>
    </row>
    <row r="303" spans="1:11" x14ac:dyDescent="0.3">
      <c r="A303" s="4" t="s">
        <v>345</v>
      </c>
      <c r="B303" s="8">
        <v>45453</v>
      </c>
      <c r="C303" s="4" t="s">
        <v>52</v>
      </c>
      <c r="D303" s="4" t="s">
        <v>31</v>
      </c>
      <c r="E303" s="4" t="s">
        <v>24</v>
      </c>
      <c r="F303" s="4" t="s">
        <v>47</v>
      </c>
      <c r="G303" s="4">
        <v>6</v>
      </c>
      <c r="H303" s="2">
        <v>3999</v>
      </c>
      <c r="I303" s="2">
        <v>23994</v>
      </c>
      <c r="J303" s="2" t="str">
        <f t="shared" si="8"/>
        <v>Jun</v>
      </c>
      <c r="K303" s="4">
        <f t="shared" si="9"/>
        <v>2024</v>
      </c>
    </row>
    <row r="304" spans="1:11" x14ac:dyDescent="0.3">
      <c r="A304" s="4" t="s">
        <v>346</v>
      </c>
      <c r="B304" s="8">
        <v>45454</v>
      </c>
      <c r="C304" s="4" t="s">
        <v>15</v>
      </c>
      <c r="D304" s="4" t="s">
        <v>16</v>
      </c>
      <c r="E304" s="4" t="s">
        <v>12</v>
      </c>
      <c r="F304" s="4" t="s">
        <v>18</v>
      </c>
      <c r="G304" s="4">
        <v>5</v>
      </c>
      <c r="H304" s="2">
        <v>1999</v>
      </c>
      <c r="I304" s="2">
        <v>9995</v>
      </c>
      <c r="J304" s="2" t="str">
        <f t="shared" si="8"/>
        <v>Jun</v>
      </c>
      <c r="K304" s="4">
        <f t="shared" si="9"/>
        <v>2024</v>
      </c>
    </row>
    <row r="305" spans="1:11" x14ac:dyDescent="0.3">
      <c r="A305" s="4" t="s">
        <v>347</v>
      </c>
      <c r="B305" s="8">
        <v>45454</v>
      </c>
      <c r="C305" s="4" t="s">
        <v>27</v>
      </c>
      <c r="D305" s="4" t="s">
        <v>28</v>
      </c>
      <c r="E305" s="4" t="s">
        <v>24</v>
      </c>
      <c r="F305" s="4" t="s">
        <v>21</v>
      </c>
      <c r="G305" s="4">
        <v>8</v>
      </c>
      <c r="H305" s="2">
        <v>3324.05</v>
      </c>
      <c r="I305" s="2">
        <v>26592.400000000001</v>
      </c>
      <c r="J305" s="2" t="str">
        <f t="shared" si="8"/>
        <v>Jun</v>
      </c>
      <c r="K305" s="4">
        <f t="shared" si="9"/>
        <v>2024</v>
      </c>
    </row>
    <row r="306" spans="1:11" x14ac:dyDescent="0.3">
      <c r="A306" s="4" t="s">
        <v>348</v>
      </c>
      <c r="B306" s="8">
        <v>45455</v>
      </c>
      <c r="C306" s="4" t="s">
        <v>27</v>
      </c>
      <c r="D306" s="4" t="s">
        <v>28</v>
      </c>
      <c r="E306" s="4" t="s">
        <v>24</v>
      </c>
      <c r="F306" s="4" t="s">
        <v>21</v>
      </c>
      <c r="G306" s="4">
        <v>6</v>
      </c>
      <c r="H306" s="2">
        <v>3499</v>
      </c>
      <c r="I306" s="2">
        <v>20994</v>
      </c>
      <c r="J306" s="2" t="str">
        <f t="shared" si="8"/>
        <v>Jun</v>
      </c>
      <c r="K306" s="4">
        <f t="shared" si="9"/>
        <v>2024</v>
      </c>
    </row>
    <row r="307" spans="1:11" x14ac:dyDescent="0.3">
      <c r="A307" s="4" t="s">
        <v>349</v>
      </c>
      <c r="B307" s="8">
        <v>45455</v>
      </c>
      <c r="C307" s="4" t="s">
        <v>64</v>
      </c>
      <c r="D307" s="4" t="s">
        <v>41</v>
      </c>
      <c r="E307" s="4" t="s">
        <v>24</v>
      </c>
      <c r="F307" s="4" t="s">
        <v>13</v>
      </c>
      <c r="G307" s="4">
        <v>1</v>
      </c>
      <c r="H307" s="2">
        <v>1799</v>
      </c>
      <c r="I307" s="2">
        <v>1799</v>
      </c>
      <c r="J307" s="2" t="str">
        <f t="shared" si="8"/>
        <v>Jun</v>
      </c>
      <c r="K307" s="4">
        <f t="shared" si="9"/>
        <v>2024</v>
      </c>
    </row>
    <row r="308" spans="1:11" x14ac:dyDescent="0.3">
      <c r="A308" s="4" t="s">
        <v>350</v>
      </c>
      <c r="B308" s="8">
        <v>45456</v>
      </c>
      <c r="C308" s="4" t="s">
        <v>107</v>
      </c>
      <c r="D308" s="4" t="s">
        <v>31</v>
      </c>
      <c r="E308" s="4" t="s">
        <v>12</v>
      </c>
      <c r="F308" s="4" t="s">
        <v>13</v>
      </c>
      <c r="G308" s="4">
        <v>8</v>
      </c>
      <c r="H308" s="2">
        <v>3299</v>
      </c>
      <c r="I308" s="2">
        <v>26392</v>
      </c>
      <c r="J308" s="2" t="str">
        <f t="shared" si="8"/>
        <v>Jun</v>
      </c>
      <c r="K308" s="4">
        <f t="shared" si="9"/>
        <v>2024</v>
      </c>
    </row>
    <row r="309" spans="1:11" x14ac:dyDescent="0.3">
      <c r="A309" s="4" t="s">
        <v>351</v>
      </c>
      <c r="B309" s="8">
        <v>45456</v>
      </c>
      <c r="C309" s="4" t="s">
        <v>64</v>
      </c>
      <c r="D309" s="4" t="s">
        <v>41</v>
      </c>
      <c r="E309" s="4" t="s">
        <v>35</v>
      </c>
      <c r="F309" s="4" t="s">
        <v>25</v>
      </c>
      <c r="G309" s="4">
        <v>8</v>
      </c>
      <c r="H309" s="2">
        <v>1799</v>
      </c>
      <c r="I309" s="2">
        <v>14392</v>
      </c>
      <c r="J309" s="2" t="str">
        <f t="shared" si="8"/>
        <v>Jun</v>
      </c>
      <c r="K309" s="4">
        <f t="shared" si="9"/>
        <v>2024</v>
      </c>
    </row>
    <row r="310" spans="1:11" x14ac:dyDescent="0.3">
      <c r="A310" s="4" t="s">
        <v>352</v>
      </c>
      <c r="B310" s="8">
        <v>45457</v>
      </c>
      <c r="C310" s="4" t="s">
        <v>34</v>
      </c>
      <c r="D310" s="4" t="s">
        <v>28</v>
      </c>
      <c r="E310" s="4" t="s">
        <v>12</v>
      </c>
      <c r="F310" s="4" t="s">
        <v>13</v>
      </c>
      <c r="G310" s="4">
        <v>6</v>
      </c>
      <c r="H310" s="2">
        <v>719.1</v>
      </c>
      <c r="I310" s="2">
        <v>4314.6000000000004</v>
      </c>
      <c r="J310" s="2" t="str">
        <f t="shared" si="8"/>
        <v>Jun</v>
      </c>
      <c r="K310" s="4">
        <f t="shared" si="9"/>
        <v>2024</v>
      </c>
    </row>
    <row r="311" spans="1:11" x14ac:dyDescent="0.3">
      <c r="A311" s="4" t="s">
        <v>353</v>
      </c>
      <c r="B311" s="8">
        <v>45457</v>
      </c>
      <c r="C311" s="4" t="s">
        <v>40</v>
      </c>
      <c r="D311" s="4" t="s">
        <v>41</v>
      </c>
      <c r="E311" s="4" t="s">
        <v>35</v>
      </c>
      <c r="F311" s="4" t="s">
        <v>21</v>
      </c>
      <c r="G311" s="4">
        <v>1</v>
      </c>
      <c r="H311" s="2">
        <v>2089.0500000000002</v>
      </c>
      <c r="I311" s="2">
        <v>2089.0500000000002</v>
      </c>
      <c r="J311" s="2" t="str">
        <f t="shared" si="8"/>
        <v>Jun</v>
      </c>
      <c r="K311" s="4">
        <f t="shared" si="9"/>
        <v>2024</v>
      </c>
    </row>
    <row r="312" spans="1:11" x14ac:dyDescent="0.3">
      <c r="A312" s="4" t="s">
        <v>354</v>
      </c>
      <c r="B312" s="8">
        <v>45458</v>
      </c>
      <c r="C312" s="4" t="s">
        <v>34</v>
      </c>
      <c r="D312" s="4" t="s">
        <v>28</v>
      </c>
      <c r="E312" s="4" t="s">
        <v>24</v>
      </c>
      <c r="F312" s="4" t="s">
        <v>18</v>
      </c>
      <c r="G312" s="4">
        <v>5</v>
      </c>
      <c r="H312" s="2">
        <v>799</v>
      </c>
      <c r="I312" s="2">
        <v>3995</v>
      </c>
      <c r="J312" s="2" t="str">
        <f t="shared" si="8"/>
        <v>Jun</v>
      </c>
      <c r="K312" s="4">
        <f t="shared" si="9"/>
        <v>2024</v>
      </c>
    </row>
    <row r="313" spans="1:11" x14ac:dyDescent="0.3">
      <c r="A313" s="4" t="s">
        <v>355</v>
      </c>
      <c r="B313" s="8">
        <v>45458</v>
      </c>
      <c r="C313" s="4" t="s">
        <v>72</v>
      </c>
      <c r="D313" s="4" t="s">
        <v>16</v>
      </c>
      <c r="E313" s="4" t="s">
        <v>24</v>
      </c>
      <c r="F313" s="4" t="s">
        <v>32</v>
      </c>
      <c r="G313" s="4">
        <v>7</v>
      </c>
      <c r="H313" s="2">
        <v>1619.1</v>
      </c>
      <c r="I313" s="2">
        <v>11333.7</v>
      </c>
      <c r="J313" s="2" t="str">
        <f t="shared" si="8"/>
        <v>Jun</v>
      </c>
      <c r="K313" s="4">
        <f t="shared" si="9"/>
        <v>2024</v>
      </c>
    </row>
    <row r="314" spans="1:11" x14ac:dyDescent="0.3">
      <c r="A314" s="4" t="s">
        <v>356</v>
      </c>
      <c r="B314" s="8">
        <v>45458</v>
      </c>
      <c r="C314" s="4" t="s">
        <v>59</v>
      </c>
      <c r="D314" s="4" t="s">
        <v>41</v>
      </c>
      <c r="E314" s="4" t="s">
        <v>24</v>
      </c>
      <c r="F314" s="4" t="s">
        <v>21</v>
      </c>
      <c r="G314" s="4">
        <v>4</v>
      </c>
      <c r="H314" s="2">
        <v>1274.1500000000001</v>
      </c>
      <c r="I314" s="2">
        <v>5096.6000000000004</v>
      </c>
      <c r="J314" s="2" t="str">
        <f t="shared" si="8"/>
        <v>Jun</v>
      </c>
      <c r="K314" s="4">
        <f t="shared" si="9"/>
        <v>2024</v>
      </c>
    </row>
    <row r="315" spans="1:11" x14ac:dyDescent="0.3">
      <c r="A315" s="4" t="s">
        <v>357</v>
      </c>
      <c r="B315" s="8">
        <v>45459</v>
      </c>
      <c r="C315" s="4" t="s">
        <v>50</v>
      </c>
      <c r="D315" s="4" t="s">
        <v>41</v>
      </c>
      <c r="E315" s="4" t="s">
        <v>12</v>
      </c>
      <c r="F315" s="4" t="s">
        <v>13</v>
      </c>
      <c r="G315" s="4">
        <v>2</v>
      </c>
      <c r="H315" s="2">
        <v>999</v>
      </c>
      <c r="I315" s="2">
        <v>1998</v>
      </c>
      <c r="J315" s="2" t="str">
        <f t="shared" si="8"/>
        <v>Jun</v>
      </c>
      <c r="K315" s="4">
        <f t="shared" si="9"/>
        <v>2024</v>
      </c>
    </row>
    <row r="316" spans="1:11" x14ac:dyDescent="0.3">
      <c r="A316" s="4" t="s">
        <v>358</v>
      </c>
      <c r="B316" s="8">
        <v>45459</v>
      </c>
      <c r="C316" s="4" t="s">
        <v>67</v>
      </c>
      <c r="D316" s="4" t="s">
        <v>11</v>
      </c>
      <c r="E316" s="4" t="s">
        <v>12</v>
      </c>
      <c r="F316" s="4" t="s">
        <v>32</v>
      </c>
      <c r="G316" s="4">
        <v>3</v>
      </c>
      <c r="H316" s="2">
        <v>349</v>
      </c>
      <c r="I316" s="2">
        <v>1047</v>
      </c>
      <c r="J316" s="2" t="str">
        <f t="shared" si="8"/>
        <v>Jun</v>
      </c>
      <c r="K316" s="4">
        <f t="shared" si="9"/>
        <v>2024</v>
      </c>
    </row>
    <row r="317" spans="1:11" x14ac:dyDescent="0.3">
      <c r="A317" s="4" t="s">
        <v>359</v>
      </c>
      <c r="B317" s="8">
        <v>45459</v>
      </c>
      <c r="C317" s="4" t="s">
        <v>34</v>
      </c>
      <c r="D317" s="4" t="s">
        <v>28</v>
      </c>
      <c r="E317" s="4" t="s">
        <v>24</v>
      </c>
      <c r="F317" s="4" t="s">
        <v>18</v>
      </c>
      <c r="G317" s="4">
        <v>6</v>
      </c>
      <c r="H317" s="2">
        <v>799</v>
      </c>
      <c r="I317" s="2">
        <v>4794</v>
      </c>
      <c r="J317" s="2" t="str">
        <f t="shared" si="8"/>
        <v>Jun</v>
      </c>
      <c r="K317" s="4">
        <f t="shared" si="9"/>
        <v>2024</v>
      </c>
    </row>
    <row r="318" spans="1:11" x14ac:dyDescent="0.3">
      <c r="A318" s="4" t="s">
        <v>360</v>
      </c>
      <c r="B318" s="8">
        <v>45459</v>
      </c>
      <c r="C318" s="4" t="s">
        <v>50</v>
      </c>
      <c r="D318" s="4" t="s">
        <v>41</v>
      </c>
      <c r="E318" s="4" t="s">
        <v>24</v>
      </c>
      <c r="F318" s="4" t="s">
        <v>32</v>
      </c>
      <c r="G318" s="4">
        <v>5</v>
      </c>
      <c r="H318" s="2">
        <v>999</v>
      </c>
      <c r="I318" s="2">
        <v>4995</v>
      </c>
      <c r="J318" s="2" t="str">
        <f t="shared" si="8"/>
        <v>Jun</v>
      </c>
      <c r="K318" s="4">
        <f t="shared" si="9"/>
        <v>2024</v>
      </c>
    </row>
    <row r="319" spans="1:11" x14ac:dyDescent="0.3">
      <c r="A319" s="4" t="s">
        <v>361</v>
      </c>
      <c r="B319" s="8">
        <v>45461</v>
      </c>
      <c r="C319" s="4" t="s">
        <v>70</v>
      </c>
      <c r="D319" s="4" t="s">
        <v>28</v>
      </c>
      <c r="E319" s="4" t="s">
        <v>17</v>
      </c>
      <c r="F319" s="4" t="s">
        <v>47</v>
      </c>
      <c r="G319" s="4">
        <v>5</v>
      </c>
      <c r="H319" s="2">
        <v>1199</v>
      </c>
      <c r="I319" s="2">
        <v>5995</v>
      </c>
      <c r="J319" s="2" t="str">
        <f t="shared" si="8"/>
        <v>Jun</v>
      </c>
      <c r="K319" s="4">
        <f t="shared" si="9"/>
        <v>2024</v>
      </c>
    </row>
    <row r="320" spans="1:11" x14ac:dyDescent="0.3">
      <c r="A320" s="4" t="s">
        <v>362</v>
      </c>
      <c r="B320" s="8">
        <v>45461</v>
      </c>
      <c r="C320" s="4" t="s">
        <v>86</v>
      </c>
      <c r="D320" s="4" t="s">
        <v>28</v>
      </c>
      <c r="E320" s="4" t="s">
        <v>24</v>
      </c>
      <c r="F320" s="4" t="s">
        <v>21</v>
      </c>
      <c r="G320" s="4">
        <v>8</v>
      </c>
      <c r="H320" s="2">
        <v>899</v>
      </c>
      <c r="I320" s="2">
        <v>7192</v>
      </c>
      <c r="J320" s="2" t="str">
        <f t="shared" si="8"/>
        <v>Jun</v>
      </c>
      <c r="K320" s="4">
        <f t="shared" si="9"/>
        <v>2024</v>
      </c>
    </row>
    <row r="321" spans="1:11" x14ac:dyDescent="0.3">
      <c r="A321" s="4" t="s">
        <v>363</v>
      </c>
      <c r="B321" s="8">
        <v>45461</v>
      </c>
      <c r="C321" s="4" t="s">
        <v>107</v>
      </c>
      <c r="D321" s="4" t="s">
        <v>31</v>
      </c>
      <c r="E321" s="4" t="s">
        <v>24</v>
      </c>
      <c r="F321" s="4" t="s">
        <v>18</v>
      </c>
      <c r="G321" s="4">
        <v>4</v>
      </c>
      <c r="H321" s="2">
        <v>3299</v>
      </c>
      <c r="I321" s="2">
        <v>13196</v>
      </c>
      <c r="J321" s="2" t="str">
        <f t="shared" si="8"/>
        <v>Jun</v>
      </c>
      <c r="K321" s="4">
        <f t="shared" si="9"/>
        <v>2024</v>
      </c>
    </row>
    <row r="322" spans="1:11" x14ac:dyDescent="0.3">
      <c r="A322" s="4" t="s">
        <v>364</v>
      </c>
      <c r="B322" s="8">
        <v>45462</v>
      </c>
      <c r="C322" s="4" t="s">
        <v>45</v>
      </c>
      <c r="D322" s="4" t="s">
        <v>16</v>
      </c>
      <c r="E322" s="4" t="s">
        <v>24</v>
      </c>
      <c r="F322" s="4" t="s">
        <v>47</v>
      </c>
      <c r="G322" s="4">
        <v>8</v>
      </c>
      <c r="H322" s="2">
        <v>5499</v>
      </c>
      <c r="I322" s="2">
        <v>43992</v>
      </c>
      <c r="J322" s="2" t="str">
        <f t="shared" ref="J322:J385" si="10">TEXT(B322,"mmm")</f>
        <v>Jun</v>
      </c>
      <c r="K322" s="4">
        <f t="shared" ref="K322:K385" si="11">YEAR(B322)</f>
        <v>2024</v>
      </c>
    </row>
    <row r="323" spans="1:11" x14ac:dyDescent="0.3">
      <c r="A323" s="4" t="s">
        <v>365</v>
      </c>
      <c r="B323" s="8">
        <v>45464</v>
      </c>
      <c r="C323" s="4" t="s">
        <v>59</v>
      </c>
      <c r="D323" s="4" t="s">
        <v>41</v>
      </c>
      <c r="E323" s="4" t="s">
        <v>24</v>
      </c>
      <c r="F323" s="4" t="s">
        <v>47</v>
      </c>
      <c r="G323" s="4">
        <v>7</v>
      </c>
      <c r="H323" s="2">
        <v>1499</v>
      </c>
      <c r="I323" s="2">
        <v>10493</v>
      </c>
      <c r="J323" s="2" t="str">
        <f t="shared" si="10"/>
        <v>Jun</v>
      </c>
      <c r="K323" s="4">
        <f t="shared" si="11"/>
        <v>2024</v>
      </c>
    </row>
    <row r="324" spans="1:11" x14ac:dyDescent="0.3">
      <c r="A324" s="4" t="s">
        <v>366</v>
      </c>
      <c r="B324" s="8">
        <v>45464</v>
      </c>
      <c r="C324" s="4" t="s">
        <v>59</v>
      </c>
      <c r="D324" s="4" t="s">
        <v>41</v>
      </c>
      <c r="E324" s="4" t="s">
        <v>17</v>
      </c>
      <c r="F324" s="4" t="s">
        <v>25</v>
      </c>
      <c r="G324" s="4">
        <v>7</v>
      </c>
      <c r="H324" s="2">
        <v>1349.1</v>
      </c>
      <c r="I324" s="2">
        <v>9443.7000000000007</v>
      </c>
      <c r="J324" s="2" t="str">
        <f t="shared" si="10"/>
        <v>Jun</v>
      </c>
      <c r="K324" s="4">
        <f t="shared" si="11"/>
        <v>2024</v>
      </c>
    </row>
    <row r="325" spans="1:11" x14ac:dyDescent="0.3">
      <c r="A325" s="4" t="s">
        <v>367</v>
      </c>
      <c r="B325" s="8">
        <v>45464</v>
      </c>
      <c r="C325" s="4" t="s">
        <v>10</v>
      </c>
      <c r="D325" s="4" t="s">
        <v>11</v>
      </c>
      <c r="E325" s="4" t="s">
        <v>35</v>
      </c>
      <c r="F325" s="4" t="s">
        <v>21</v>
      </c>
      <c r="G325" s="4">
        <v>8</v>
      </c>
      <c r="H325" s="2">
        <v>299</v>
      </c>
      <c r="I325" s="2">
        <v>2392</v>
      </c>
      <c r="J325" s="2" t="str">
        <f t="shared" si="10"/>
        <v>Jun</v>
      </c>
      <c r="K325" s="4">
        <f t="shared" si="11"/>
        <v>2024</v>
      </c>
    </row>
    <row r="326" spans="1:11" x14ac:dyDescent="0.3">
      <c r="A326" s="4" t="s">
        <v>368</v>
      </c>
      <c r="B326" s="8">
        <v>45464</v>
      </c>
      <c r="C326" s="4" t="s">
        <v>45</v>
      </c>
      <c r="D326" s="4" t="s">
        <v>16</v>
      </c>
      <c r="E326" s="4" t="s">
        <v>12</v>
      </c>
      <c r="F326" s="4" t="s">
        <v>18</v>
      </c>
      <c r="G326" s="4">
        <v>5</v>
      </c>
      <c r="H326" s="2">
        <v>5499</v>
      </c>
      <c r="I326" s="2">
        <v>27495</v>
      </c>
      <c r="J326" s="2" t="str">
        <f t="shared" si="10"/>
        <v>Jun</v>
      </c>
      <c r="K326" s="4">
        <f t="shared" si="11"/>
        <v>2024</v>
      </c>
    </row>
    <row r="327" spans="1:11" x14ac:dyDescent="0.3">
      <c r="A327" s="4" t="s">
        <v>369</v>
      </c>
      <c r="B327" s="8">
        <v>45464</v>
      </c>
      <c r="C327" s="4" t="s">
        <v>50</v>
      </c>
      <c r="D327" s="4" t="s">
        <v>41</v>
      </c>
      <c r="E327" s="4" t="s">
        <v>24</v>
      </c>
      <c r="F327" s="4" t="s">
        <v>32</v>
      </c>
      <c r="G327" s="4">
        <v>9</v>
      </c>
      <c r="H327" s="2">
        <v>999</v>
      </c>
      <c r="I327" s="2">
        <v>8991</v>
      </c>
      <c r="J327" s="2" t="str">
        <f t="shared" si="10"/>
        <v>Jun</v>
      </c>
      <c r="K327" s="4">
        <f t="shared" si="11"/>
        <v>2024</v>
      </c>
    </row>
    <row r="328" spans="1:11" x14ac:dyDescent="0.3">
      <c r="A328" s="4" t="s">
        <v>370</v>
      </c>
      <c r="B328" s="8">
        <v>45466</v>
      </c>
      <c r="C328" s="4" t="s">
        <v>20</v>
      </c>
      <c r="D328" s="4" t="s">
        <v>11</v>
      </c>
      <c r="E328" s="4" t="s">
        <v>12</v>
      </c>
      <c r="F328" s="4" t="s">
        <v>25</v>
      </c>
      <c r="G328" s="4">
        <v>1</v>
      </c>
      <c r="H328" s="2">
        <v>399</v>
      </c>
      <c r="I328" s="2">
        <v>399</v>
      </c>
      <c r="J328" s="2" t="str">
        <f t="shared" si="10"/>
        <v>Jun</v>
      </c>
      <c r="K328" s="4">
        <f t="shared" si="11"/>
        <v>2024</v>
      </c>
    </row>
    <row r="329" spans="1:11" x14ac:dyDescent="0.3">
      <c r="A329" s="4" t="s">
        <v>371</v>
      </c>
      <c r="B329" s="8">
        <v>45467</v>
      </c>
      <c r="C329" s="4" t="s">
        <v>64</v>
      </c>
      <c r="D329" s="4" t="s">
        <v>41</v>
      </c>
      <c r="E329" s="4" t="s">
        <v>35</v>
      </c>
      <c r="F329" s="4" t="s">
        <v>32</v>
      </c>
      <c r="G329" s="4">
        <v>9</v>
      </c>
      <c r="H329" s="2">
        <v>1619.1</v>
      </c>
      <c r="I329" s="2">
        <v>14571.9</v>
      </c>
      <c r="J329" s="2" t="str">
        <f t="shared" si="10"/>
        <v>Jun</v>
      </c>
      <c r="K329" s="4">
        <f t="shared" si="11"/>
        <v>2024</v>
      </c>
    </row>
    <row r="330" spans="1:11" x14ac:dyDescent="0.3">
      <c r="A330" s="4" t="s">
        <v>372</v>
      </c>
      <c r="B330" s="8">
        <v>45468</v>
      </c>
      <c r="C330" s="4" t="s">
        <v>40</v>
      </c>
      <c r="D330" s="4" t="s">
        <v>41</v>
      </c>
      <c r="E330" s="4" t="s">
        <v>12</v>
      </c>
      <c r="F330" s="4" t="s">
        <v>32</v>
      </c>
      <c r="G330" s="4">
        <v>5</v>
      </c>
      <c r="H330" s="2">
        <v>2199</v>
      </c>
      <c r="I330" s="2">
        <v>10995</v>
      </c>
      <c r="J330" s="2" t="str">
        <f t="shared" si="10"/>
        <v>Jun</v>
      </c>
      <c r="K330" s="4">
        <f t="shared" si="11"/>
        <v>2024</v>
      </c>
    </row>
    <row r="331" spans="1:11" x14ac:dyDescent="0.3">
      <c r="A331" s="4" t="s">
        <v>373</v>
      </c>
      <c r="B331" s="8">
        <v>45468</v>
      </c>
      <c r="C331" s="4" t="s">
        <v>64</v>
      </c>
      <c r="D331" s="4" t="s">
        <v>41</v>
      </c>
      <c r="E331" s="4" t="s">
        <v>12</v>
      </c>
      <c r="F331" s="4" t="s">
        <v>18</v>
      </c>
      <c r="G331" s="4">
        <v>5</v>
      </c>
      <c r="H331" s="2">
        <v>1709.05</v>
      </c>
      <c r="I331" s="2">
        <v>8545.25</v>
      </c>
      <c r="J331" s="2" t="str">
        <f t="shared" si="10"/>
        <v>Jun</v>
      </c>
      <c r="K331" s="4">
        <f t="shared" si="11"/>
        <v>2024</v>
      </c>
    </row>
    <row r="332" spans="1:11" x14ac:dyDescent="0.3">
      <c r="A332" s="4" t="s">
        <v>374</v>
      </c>
      <c r="B332" s="8">
        <v>45469</v>
      </c>
      <c r="C332" s="4" t="s">
        <v>86</v>
      </c>
      <c r="D332" s="4" t="s">
        <v>28</v>
      </c>
      <c r="E332" s="4" t="s">
        <v>12</v>
      </c>
      <c r="F332" s="4" t="s">
        <v>21</v>
      </c>
      <c r="G332" s="4">
        <v>3</v>
      </c>
      <c r="H332" s="2">
        <v>899</v>
      </c>
      <c r="I332" s="2">
        <v>2697</v>
      </c>
      <c r="J332" s="2" t="str">
        <f t="shared" si="10"/>
        <v>Jun</v>
      </c>
      <c r="K332" s="4">
        <f t="shared" si="11"/>
        <v>2024</v>
      </c>
    </row>
    <row r="333" spans="1:11" x14ac:dyDescent="0.3">
      <c r="A333" s="4" t="s">
        <v>375</v>
      </c>
      <c r="B333" s="8">
        <v>45469</v>
      </c>
      <c r="C333" s="4" t="s">
        <v>70</v>
      </c>
      <c r="D333" s="4" t="s">
        <v>28</v>
      </c>
      <c r="E333" s="4" t="s">
        <v>17</v>
      </c>
      <c r="F333" s="4" t="s">
        <v>13</v>
      </c>
      <c r="G333" s="4">
        <v>1</v>
      </c>
      <c r="H333" s="2">
        <v>1199</v>
      </c>
      <c r="I333" s="2">
        <v>1199</v>
      </c>
      <c r="J333" s="2" t="str">
        <f t="shared" si="10"/>
        <v>Jun</v>
      </c>
      <c r="K333" s="4">
        <f t="shared" si="11"/>
        <v>2024</v>
      </c>
    </row>
    <row r="334" spans="1:11" x14ac:dyDescent="0.3">
      <c r="A334" s="4" t="s">
        <v>376</v>
      </c>
      <c r="B334" s="8">
        <v>45469</v>
      </c>
      <c r="C334" s="4" t="s">
        <v>45</v>
      </c>
      <c r="D334" s="4" t="s">
        <v>16</v>
      </c>
      <c r="E334" s="4" t="s">
        <v>12</v>
      </c>
      <c r="F334" s="4" t="s">
        <v>18</v>
      </c>
      <c r="G334" s="4">
        <v>9</v>
      </c>
      <c r="H334" s="2">
        <v>5499</v>
      </c>
      <c r="I334" s="2">
        <v>49491</v>
      </c>
      <c r="J334" s="2" t="str">
        <f t="shared" si="10"/>
        <v>Jun</v>
      </c>
      <c r="K334" s="4">
        <f t="shared" si="11"/>
        <v>2024</v>
      </c>
    </row>
    <row r="335" spans="1:11" x14ac:dyDescent="0.3">
      <c r="A335" s="4" t="s">
        <v>377</v>
      </c>
      <c r="B335" s="8">
        <v>45469</v>
      </c>
      <c r="C335" s="4" t="s">
        <v>27</v>
      </c>
      <c r="D335" s="4" t="s">
        <v>28</v>
      </c>
      <c r="E335" s="4" t="s">
        <v>17</v>
      </c>
      <c r="F335" s="4" t="s">
        <v>21</v>
      </c>
      <c r="G335" s="4">
        <v>7</v>
      </c>
      <c r="H335" s="2">
        <v>3499</v>
      </c>
      <c r="I335" s="2">
        <v>24493</v>
      </c>
      <c r="J335" s="2" t="str">
        <f t="shared" si="10"/>
        <v>Jun</v>
      </c>
      <c r="K335" s="4">
        <f t="shared" si="11"/>
        <v>2024</v>
      </c>
    </row>
    <row r="336" spans="1:11" x14ac:dyDescent="0.3">
      <c r="A336" s="4" t="s">
        <v>378</v>
      </c>
      <c r="B336" s="8">
        <v>45470</v>
      </c>
      <c r="C336" s="4" t="s">
        <v>37</v>
      </c>
      <c r="D336" s="4" t="s">
        <v>16</v>
      </c>
      <c r="E336" s="4" t="s">
        <v>24</v>
      </c>
      <c r="F336" s="4" t="s">
        <v>47</v>
      </c>
      <c r="G336" s="4">
        <v>5</v>
      </c>
      <c r="H336" s="2">
        <v>899</v>
      </c>
      <c r="I336" s="2">
        <v>4495</v>
      </c>
      <c r="J336" s="2" t="str">
        <f t="shared" si="10"/>
        <v>Jun</v>
      </c>
      <c r="K336" s="4">
        <f t="shared" si="11"/>
        <v>2024</v>
      </c>
    </row>
    <row r="337" spans="1:11" x14ac:dyDescent="0.3">
      <c r="A337" s="4" t="s">
        <v>379</v>
      </c>
      <c r="B337" s="8">
        <v>45470</v>
      </c>
      <c r="C337" s="4" t="s">
        <v>27</v>
      </c>
      <c r="D337" s="4" t="s">
        <v>28</v>
      </c>
      <c r="E337" s="4" t="s">
        <v>12</v>
      </c>
      <c r="F337" s="4" t="s">
        <v>25</v>
      </c>
      <c r="G337" s="4">
        <v>3</v>
      </c>
      <c r="H337" s="2">
        <v>3499</v>
      </c>
      <c r="I337" s="2">
        <v>10497</v>
      </c>
      <c r="J337" s="2" t="str">
        <f t="shared" si="10"/>
        <v>Jun</v>
      </c>
      <c r="K337" s="4">
        <f t="shared" si="11"/>
        <v>2024</v>
      </c>
    </row>
    <row r="338" spans="1:11" x14ac:dyDescent="0.3">
      <c r="A338" s="4" t="s">
        <v>380</v>
      </c>
      <c r="B338" s="8">
        <v>45471</v>
      </c>
      <c r="C338" s="4" t="s">
        <v>23</v>
      </c>
      <c r="D338" s="4" t="s">
        <v>16</v>
      </c>
      <c r="E338" s="4" t="s">
        <v>17</v>
      </c>
      <c r="F338" s="4" t="s">
        <v>18</v>
      </c>
      <c r="G338" s="4">
        <v>8</v>
      </c>
      <c r="H338" s="2">
        <v>2374.0500000000002</v>
      </c>
      <c r="I338" s="2">
        <v>18992.400000000001</v>
      </c>
      <c r="J338" s="2" t="str">
        <f t="shared" si="10"/>
        <v>Jun</v>
      </c>
      <c r="K338" s="4">
        <f t="shared" si="11"/>
        <v>2024</v>
      </c>
    </row>
    <row r="339" spans="1:11" x14ac:dyDescent="0.3">
      <c r="A339" s="4" t="s">
        <v>381</v>
      </c>
      <c r="B339" s="8">
        <v>45471</v>
      </c>
      <c r="C339" s="4" t="s">
        <v>34</v>
      </c>
      <c r="D339" s="4" t="s">
        <v>28</v>
      </c>
      <c r="E339" s="4" t="s">
        <v>24</v>
      </c>
      <c r="F339" s="4" t="s">
        <v>47</v>
      </c>
      <c r="G339" s="4">
        <v>4</v>
      </c>
      <c r="H339" s="2">
        <v>799</v>
      </c>
      <c r="I339" s="2">
        <v>3196</v>
      </c>
      <c r="J339" s="2" t="str">
        <f t="shared" si="10"/>
        <v>Jun</v>
      </c>
      <c r="K339" s="4">
        <f t="shared" si="11"/>
        <v>2024</v>
      </c>
    </row>
    <row r="340" spans="1:11" x14ac:dyDescent="0.3">
      <c r="A340" s="4" t="s">
        <v>382</v>
      </c>
      <c r="B340" s="8">
        <v>45471</v>
      </c>
      <c r="C340" s="4" t="s">
        <v>45</v>
      </c>
      <c r="D340" s="4" t="s">
        <v>16</v>
      </c>
      <c r="E340" s="4" t="s">
        <v>17</v>
      </c>
      <c r="F340" s="4" t="s">
        <v>21</v>
      </c>
      <c r="G340" s="4">
        <v>4</v>
      </c>
      <c r="H340" s="2">
        <v>5499</v>
      </c>
      <c r="I340" s="2">
        <v>21996</v>
      </c>
      <c r="J340" s="2" t="str">
        <f t="shared" si="10"/>
        <v>Jun</v>
      </c>
      <c r="K340" s="4">
        <f t="shared" si="11"/>
        <v>2024</v>
      </c>
    </row>
    <row r="341" spans="1:11" x14ac:dyDescent="0.3">
      <c r="A341" s="4" t="s">
        <v>383</v>
      </c>
      <c r="B341" s="8">
        <v>45472</v>
      </c>
      <c r="C341" s="4" t="s">
        <v>20</v>
      </c>
      <c r="D341" s="4" t="s">
        <v>11</v>
      </c>
      <c r="E341" s="4" t="s">
        <v>35</v>
      </c>
      <c r="F341" s="4" t="s">
        <v>47</v>
      </c>
      <c r="G341" s="4">
        <v>1</v>
      </c>
      <c r="H341" s="2">
        <v>359.1</v>
      </c>
      <c r="I341" s="2">
        <v>359.1</v>
      </c>
      <c r="J341" s="2" t="str">
        <f t="shared" si="10"/>
        <v>Jun</v>
      </c>
      <c r="K341" s="4">
        <f t="shared" si="11"/>
        <v>2024</v>
      </c>
    </row>
    <row r="342" spans="1:11" x14ac:dyDescent="0.3">
      <c r="A342" s="4" t="s">
        <v>384</v>
      </c>
      <c r="B342" s="8">
        <v>45472</v>
      </c>
      <c r="C342" s="4" t="s">
        <v>10</v>
      </c>
      <c r="D342" s="4" t="s">
        <v>11</v>
      </c>
      <c r="E342" s="4" t="s">
        <v>12</v>
      </c>
      <c r="F342" s="4" t="s">
        <v>32</v>
      </c>
      <c r="G342" s="4">
        <v>6</v>
      </c>
      <c r="H342" s="2">
        <v>284.05</v>
      </c>
      <c r="I342" s="2">
        <v>1704.3</v>
      </c>
      <c r="J342" s="2" t="str">
        <f t="shared" si="10"/>
        <v>Jun</v>
      </c>
      <c r="K342" s="4">
        <f t="shared" si="11"/>
        <v>2024</v>
      </c>
    </row>
    <row r="343" spans="1:11" x14ac:dyDescent="0.3">
      <c r="A343" s="4" t="s">
        <v>385</v>
      </c>
      <c r="B343" s="8">
        <v>45473</v>
      </c>
      <c r="C343" s="4" t="s">
        <v>57</v>
      </c>
      <c r="D343" s="4" t="s">
        <v>31</v>
      </c>
      <c r="E343" s="4" t="s">
        <v>12</v>
      </c>
      <c r="F343" s="4" t="s">
        <v>47</v>
      </c>
      <c r="G343" s="4">
        <v>2</v>
      </c>
      <c r="H343" s="2">
        <v>1299</v>
      </c>
      <c r="I343" s="2">
        <v>2598</v>
      </c>
      <c r="J343" s="2" t="str">
        <f t="shared" si="10"/>
        <v>Jun</v>
      </c>
      <c r="K343" s="4">
        <f t="shared" si="11"/>
        <v>2024</v>
      </c>
    </row>
    <row r="344" spans="1:11" x14ac:dyDescent="0.3">
      <c r="A344" s="4" t="s">
        <v>386</v>
      </c>
      <c r="B344" s="8">
        <v>45473</v>
      </c>
      <c r="C344" s="4" t="s">
        <v>27</v>
      </c>
      <c r="D344" s="4" t="s">
        <v>28</v>
      </c>
      <c r="E344" s="4" t="s">
        <v>24</v>
      </c>
      <c r="F344" s="4" t="s">
        <v>47</v>
      </c>
      <c r="G344" s="4">
        <v>8</v>
      </c>
      <c r="H344" s="2">
        <v>3499</v>
      </c>
      <c r="I344" s="2">
        <v>27992</v>
      </c>
      <c r="J344" s="2" t="str">
        <f t="shared" si="10"/>
        <v>Jun</v>
      </c>
      <c r="K344" s="4">
        <f t="shared" si="11"/>
        <v>2024</v>
      </c>
    </row>
    <row r="345" spans="1:11" x14ac:dyDescent="0.3">
      <c r="A345" s="4" t="s">
        <v>387</v>
      </c>
      <c r="B345" s="8">
        <v>45474</v>
      </c>
      <c r="C345" s="4" t="s">
        <v>34</v>
      </c>
      <c r="D345" s="4" t="s">
        <v>28</v>
      </c>
      <c r="E345" s="4" t="s">
        <v>12</v>
      </c>
      <c r="F345" s="4" t="s">
        <v>47</v>
      </c>
      <c r="G345" s="4">
        <v>7</v>
      </c>
      <c r="H345" s="2">
        <v>799</v>
      </c>
      <c r="I345" s="2">
        <v>5593</v>
      </c>
      <c r="J345" s="2" t="str">
        <f t="shared" si="10"/>
        <v>Jul</v>
      </c>
      <c r="K345" s="4">
        <f t="shared" si="11"/>
        <v>2024</v>
      </c>
    </row>
    <row r="346" spans="1:11" x14ac:dyDescent="0.3">
      <c r="A346" s="4" t="s">
        <v>388</v>
      </c>
      <c r="B346" s="8">
        <v>45474</v>
      </c>
      <c r="C346" s="4" t="s">
        <v>70</v>
      </c>
      <c r="D346" s="4" t="s">
        <v>28</v>
      </c>
      <c r="E346" s="4" t="s">
        <v>12</v>
      </c>
      <c r="F346" s="4" t="s">
        <v>47</v>
      </c>
      <c r="G346" s="4">
        <v>4</v>
      </c>
      <c r="H346" s="2">
        <v>1199</v>
      </c>
      <c r="I346" s="2">
        <v>4796</v>
      </c>
      <c r="J346" s="2" t="str">
        <f t="shared" si="10"/>
        <v>Jul</v>
      </c>
      <c r="K346" s="4">
        <f t="shared" si="11"/>
        <v>2024</v>
      </c>
    </row>
    <row r="347" spans="1:11" x14ac:dyDescent="0.3">
      <c r="A347" s="4" t="s">
        <v>389</v>
      </c>
      <c r="B347" s="8">
        <v>45474</v>
      </c>
      <c r="C347" s="4" t="s">
        <v>37</v>
      </c>
      <c r="D347" s="4" t="s">
        <v>16</v>
      </c>
      <c r="E347" s="4" t="s">
        <v>35</v>
      </c>
      <c r="F347" s="4" t="s">
        <v>32</v>
      </c>
      <c r="G347" s="4">
        <v>3</v>
      </c>
      <c r="H347" s="2">
        <v>899</v>
      </c>
      <c r="I347" s="2">
        <v>2697</v>
      </c>
      <c r="J347" s="2" t="str">
        <f t="shared" si="10"/>
        <v>Jul</v>
      </c>
      <c r="K347" s="4">
        <f t="shared" si="11"/>
        <v>2024</v>
      </c>
    </row>
    <row r="348" spans="1:11" x14ac:dyDescent="0.3">
      <c r="A348" s="4" t="s">
        <v>390</v>
      </c>
      <c r="B348" s="8">
        <v>45475</v>
      </c>
      <c r="C348" s="4" t="s">
        <v>64</v>
      </c>
      <c r="D348" s="4" t="s">
        <v>41</v>
      </c>
      <c r="E348" s="4" t="s">
        <v>24</v>
      </c>
      <c r="F348" s="4" t="s">
        <v>32</v>
      </c>
      <c r="G348" s="4">
        <v>1</v>
      </c>
      <c r="H348" s="2">
        <v>1619.1</v>
      </c>
      <c r="I348" s="2">
        <v>1619.1</v>
      </c>
      <c r="J348" s="2" t="str">
        <f t="shared" si="10"/>
        <v>Jul</v>
      </c>
      <c r="K348" s="4">
        <f t="shared" si="11"/>
        <v>2024</v>
      </c>
    </row>
    <row r="349" spans="1:11" x14ac:dyDescent="0.3">
      <c r="A349" s="4" t="s">
        <v>391</v>
      </c>
      <c r="B349" s="8">
        <v>45475</v>
      </c>
      <c r="C349" s="4" t="s">
        <v>70</v>
      </c>
      <c r="D349" s="4" t="s">
        <v>28</v>
      </c>
      <c r="E349" s="4" t="s">
        <v>24</v>
      </c>
      <c r="F349" s="4" t="s">
        <v>47</v>
      </c>
      <c r="G349" s="4">
        <v>8</v>
      </c>
      <c r="H349" s="2">
        <v>1199</v>
      </c>
      <c r="I349" s="2">
        <v>9592</v>
      </c>
      <c r="J349" s="2" t="str">
        <f t="shared" si="10"/>
        <v>Jul</v>
      </c>
      <c r="K349" s="4">
        <f t="shared" si="11"/>
        <v>2024</v>
      </c>
    </row>
    <row r="350" spans="1:11" x14ac:dyDescent="0.3">
      <c r="A350" s="4" t="s">
        <v>392</v>
      </c>
      <c r="B350" s="8">
        <v>45477</v>
      </c>
      <c r="C350" s="4" t="s">
        <v>59</v>
      </c>
      <c r="D350" s="4" t="s">
        <v>41</v>
      </c>
      <c r="E350" s="4" t="s">
        <v>12</v>
      </c>
      <c r="F350" s="4" t="s">
        <v>47</v>
      </c>
      <c r="G350" s="4">
        <v>6</v>
      </c>
      <c r="H350" s="2">
        <v>1499</v>
      </c>
      <c r="I350" s="2">
        <v>8994</v>
      </c>
      <c r="J350" s="2" t="str">
        <f t="shared" si="10"/>
        <v>Jul</v>
      </c>
      <c r="K350" s="4">
        <f t="shared" si="11"/>
        <v>2024</v>
      </c>
    </row>
    <row r="351" spans="1:11" x14ac:dyDescent="0.3">
      <c r="A351" s="4" t="s">
        <v>393</v>
      </c>
      <c r="B351" s="8">
        <v>45477</v>
      </c>
      <c r="C351" s="4" t="s">
        <v>20</v>
      </c>
      <c r="D351" s="4" t="s">
        <v>11</v>
      </c>
      <c r="E351" s="4" t="s">
        <v>24</v>
      </c>
      <c r="F351" s="4" t="s">
        <v>32</v>
      </c>
      <c r="G351" s="4">
        <v>1</v>
      </c>
      <c r="H351" s="2">
        <v>399</v>
      </c>
      <c r="I351" s="2">
        <v>399</v>
      </c>
      <c r="J351" s="2" t="str">
        <f t="shared" si="10"/>
        <v>Jul</v>
      </c>
      <c r="K351" s="4">
        <f t="shared" si="11"/>
        <v>2024</v>
      </c>
    </row>
    <row r="352" spans="1:11" x14ac:dyDescent="0.3">
      <c r="A352" s="4" t="s">
        <v>394</v>
      </c>
      <c r="B352" s="8">
        <v>45479</v>
      </c>
      <c r="C352" s="4" t="s">
        <v>67</v>
      </c>
      <c r="D352" s="4" t="s">
        <v>11</v>
      </c>
      <c r="E352" s="4" t="s">
        <v>12</v>
      </c>
      <c r="F352" s="4" t="s">
        <v>21</v>
      </c>
      <c r="G352" s="4">
        <v>2</v>
      </c>
      <c r="H352" s="2">
        <v>349</v>
      </c>
      <c r="I352" s="2">
        <v>698</v>
      </c>
      <c r="J352" s="2" t="str">
        <f t="shared" si="10"/>
        <v>Jul</v>
      </c>
      <c r="K352" s="4">
        <f t="shared" si="11"/>
        <v>2024</v>
      </c>
    </row>
    <row r="353" spans="1:11" x14ac:dyDescent="0.3">
      <c r="A353" s="4" t="s">
        <v>395</v>
      </c>
      <c r="B353" s="8">
        <v>45479</v>
      </c>
      <c r="C353" s="4" t="s">
        <v>57</v>
      </c>
      <c r="D353" s="4" t="s">
        <v>31</v>
      </c>
      <c r="E353" s="4" t="s">
        <v>17</v>
      </c>
      <c r="F353" s="4" t="s">
        <v>32</v>
      </c>
      <c r="G353" s="4">
        <v>2</v>
      </c>
      <c r="H353" s="2">
        <v>1169.0999999999999</v>
      </c>
      <c r="I353" s="2">
        <v>2338.1999999999998</v>
      </c>
      <c r="J353" s="2" t="str">
        <f t="shared" si="10"/>
        <v>Jul</v>
      </c>
      <c r="K353" s="4">
        <f t="shared" si="11"/>
        <v>2024</v>
      </c>
    </row>
    <row r="354" spans="1:11" x14ac:dyDescent="0.3">
      <c r="A354" s="4" t="s">
        <v>396</v>
      </c>
      <c r="B354" s="8">
        <v>45480</v>
      </c>
      <c r="C354" s="4" t="s">
        <v>20</v>
      </c>
      <c r="D354" s="4" t="s">
        <v>11</v>
      </c>
      <c r="E354" s="4" t="s">
        <v>12</v>
      </c>
      <c r="F354" s="4" t="s">
        <v>21</v>
      </c>
      <c r="G354" s="4">
        <v>1</v>
      </c>
      <c r="H354" s="2">
        <v>359.1</v>
      </c>
      <c r="I354" s="2">
        <v>359.1</v>
      </c>
      <c r="J354" s="2" t="str">
        <f t="shared" si="10"/>
        <v>Jul</v>
      </c>
      <c r="K354" s="4">
        <f t="shared" si="11"/>
        <v>2024</v>
      </c>
    </row>
    <row r="355" spans="1:11" x14ac:dyDescent="0.3">
      <c r="A355" s="4" t="s">
        <v>397</v>
      </c>
      <c r="B355" s="8">
        <v>45480</v>
      </c>
      <c r="C355" s="4" t="s">
        <v>45</v>
      </c>
      <c r="D355" s="4" t="s">
        <v>16</v>
      </c>
      <c r="E355" s="4" t="s">
        <v>35</v>
      </c>
      <c r="F355" s="4" t="s">
        <v>47</v>
      </c>
      <c r="G355" s="4">
        <v>4</v>
      </c>
      <c r="H355" s="2">
        <v>4949.1000000000004</v>
      </c>
      <c r="I355" s="2">
        <v>19796.400000000001</v>
      </c>
      <c r="J355" s="2" t="str">
        <f t="shared" si="10"/>
        <v>Jul</v>
      </c>
      <c r="K355" s="4">
        <f t="shared" si="11"/>
        <v>2024</v>
      </c>
    </row>
    <row r="356" spans="1:11" x14ac:dyDescent="0.3">
      <c r="A356" s="4" t="s">
        <v>398</v>
      </c>
      <c r="B356" s="8">
        <v>45480</v>
      </c>
      <c r="C356" s="4" t="s">
        <v>86</v>
      </c>
      <c r="D356" s="4" t="s">
        <v>28</v>
      </c>
      <c r="E356" s="4" t="s">
        <v>35</v>
      </c>
      <c r="F356" s="4" t="s">
        <v>21</v>
      </c>
      <c r="G356" s="4">
        <v>4</v>
      </c>
      <c r="H356" s="2">
        <v>809.1</v>
      </c>
      <c r="I356" s="2">
        <v>3236.4</v>
      </c>
      <c r="J356" s="2" t="str">
        <f t="shared" si="10"/>
        <v>Jul</v>
      </c>
      <c r="K356" s="4">
        <f t="shared" si="11"/>
        <v>2024</v>
      </c>
    </row>
    <row r="357" spans="1:11" x14ac:dyDescent="0.3">
      <c r="A357" s="4" t="s">
        <v>399</v>
      </c>
      <c r="B357" s="8">
        <v>45481</v>
      </c>
      <c r="C357" s="4" t="s">
        <v>27</v>
      </c>
      <c r="D357" s="4" t="s">
        <v>28</v>
      </c>
      <c r="E357" s="4" t="s">
        <v>24</v>
      </c>
      <c r="F357" s="4" t="s">
        <v>25</v>
      </c>
      <c r="G357" s="4">
        <v>8</v>
      </c>
      <c r="H357" s="2">
        <v>3499</v>
      </c>
      <c r="I357" s="2">
        <v>27992</v>
      </c>
      <c r="J357" s="2" t="str">
        <f t="shared" si="10"/>
        <v>Jul</v>
      </c>
      <c r="K357" s="4">
        <f t="shared" si="11"/>
        <v>2024</v>
      </c>
    </row>
    <row r="358" spans="1:11" x14ac:dyDescent="0.3">
      <c r="A358" s="4" t="s">
        <v>400</v>
      </c>
      <c r="B358" s="8">
        <v>45481</v>
      </c>
      <c r="C358" s="4" t="s">
        <v>27</v>
      </c>
      <c r="D358" s="4" t="s">
        <v>28</v>
      </c>
      <c r="E358" s="4" t="s">
        <v>24</v>
      </c>
      <c r="F358" s="4" t="s">
        <v>25</v>
      </c>
      <c r="G358" s="4">
        <v>1</v>
      </c>
      <c r="H358" s="2">
        <v>2974.15</v>
      </c>
      <c r="I358" s="2">
        <v>2974.15</v>
      </c>
      <c r="J358" s="2" t="str">
        <f t="shared" si="10"/>
        <v>Jul</v>
      </c>
      <c r="K358" s="4">
        <f t="shared" si="11"/>
        <v>2024</v>
      </c>
    </row>
    <row r="359" spans="1:11" x14ac:dyDescent="0.3">
      <c r="A359" s="4" t="s">
        <v>401</v>
      </c>
      <c r="B359" s="8">
        <v>45482</v>
      </c>
      <c r="C359" s="4" t="s">
        <v>30</v>
      </c>
      <c r="D359" s="4" t="s">
        <v>31</v>
      </c>
      <c r="E359" s="4" t="s">
        <v>12</v>
      </c>
      <c r="F359" s="4" t="s">
        <v>47</v>
      </c>
      <c r="G359" s="4">
        <v>6</v>
      </c>
      <c r="H359" s="2">
        <v>4499</v>
      </c>
      <c r="I359" s="2">
        <v>26994</v>
      </c>
      <c r="J359" s="2" t="str">
        <f t="shared" si="10"/>
        <v>Jul</v>
      </c>
      <c r="K359" s="4">
        <f t="shared" si="11"/>
        <v>2024</v>
      </c>
    </row>
    <row r="360" spans="1:11" x14ac:dyDescent="0.3">
      <c r="A360" s="4" t="s">
        <v>402</v>
      </c>
      <c r="B360" s="8">
        <v>45483</v>
      </c>
      <c r="C360" s="4" t="s">
        <v>107</v>
      </c>
      <c r="D360" s="4" t="s">
        <v>31</v>
      </c>
      <c r="E360" s="4" t="s">
        <v>35</v>
      </c>
      <c r="F360" s="4" t="s">
        <v>21</v>
      </c>
      <c r="G360" s="4">
        <v>2</v>
      </c>
      <c r="H360" s="2">
        <v>3299</v>
      </c>
      <c r="I360" s="2">
        <v>6598</v>
      </c>
      <c r="J360" s="2" t="str">
        <f t="shared" si="10"/>
        <v>Jul</v>
      </c>
      <c r="K360" s="4">
        <f t="shared" si="11"/>
        <v>2024</v>
      </c>
    </row>
    <row r="361" spans="1:11" x14ac:dyDescent="0.3">
      <c r="A361" s="4" t="s">
        <v>403</v>
      </c>
      <c r="B361" s="8">
        <v>45483</v>
      </c>
      <c r="C361" s="4" t="s">
        <v>59</v>
      </c>
      <c r="D361" s="4" t="s">
        <v>41</v>
      </c>
      <c r="E361" s="4" t="s">
        <v>35</v>
      </c>
      <c r="F361" s="4" t="s">
        <v>25</v>
      </c>
      <c r="G361" s="4">
        <v>1</v>
      </c>
      <c r="H361" s="2">
        <v>1499</v>
      </c>
      <c r="I361" s="2">
        <v>1499</v>
      </c>
      <c r="J361" s="2" t="str">
        <f t="shared" si="10"/>
        <v>Jul</v>
      </c>
      <c r="K361" s="4">
        <f t="shared" si="11"/>
        <v>2024</v>
      </c>
    </row>
    <row r="362" spans="1:11" x14ac:dyDescent="0.3">
      <c r="A362" s="4" t="s">
        <v>404</v>
      </c>
      <c r="B362" s="8">
        <v>45483</v>
      </c>
      <c r="C362" s="4" t="s">
        <v>37</v>
      </c>
      <c r="D362" s="4" t="s">
        <v>16</v>
      </c>
      <c r="E362" s="4" t="s">
        <v>35</v>
      </c>
      <c r="F362" s="4" t="s">
        <v>13</v>
      </c>
      <c r="G362" s="4">
        <v>4</v>
      </c>
      <c r="H362" s="2">
        <v>899</v>
      </c>
      <c r="I362" s="2">
        <v>3596</v>
      </c>
      <c r="J362" s="2" t="str">
        <f t="shared" si="10"/>
        <v>Jul</v>
      </c>
      <c r="K362" s="4">
        <f t="shared" si="11"/>
        <v>2024</v>
      </c>
    </row>
    <row r="363" spans="1:11" x14ac:dyDescent="0.3">
      <c r="A363" s="4" t="s">
        <v>405</v>
      </c>
      <c r="B363" s="8">
        <v>45484</v>
      </c>
      <c r="C363" s="4" t="s">
        <v>70</v>
      </c>
      <c r="D363" s="4" t="s">
        <v>28</v>
      </c>
      <c r="E363" s="4" t="s">
        <v>24</v>
      </c>
      <c r="F363" s="4" t="s">
        <v>32</v>
      </c>
      <c r="G363" s="4">
        <v>2</v>
      </c>
      <c r="H363" s="2">
        <v>1199</v>
      </c>
      <c r="I363" s="2">
        <v>2398</v>
      </c>
      <c r="J363" s="2" t="str">
        <f t="shared" si="10"/>
        <v>Jul</v>
      </c>
      <c r="K363" s="4">
        <f t="shared" si="11"/>
        <v>2024</v>
      </c>
    </row>
    <row r="364" spans="1:11" x14ac:dyDescent="0.3">
      <c r="A364" s="4" t="s">
        <v>406</v>
      </c>
      <c r="B364" s="8">
        <v>45486</v>
      </c>
      <c r="C364" s="4" t="s">
        <v>50</v>
      </c>
      <c r="D364" s="4" t="s">
        <v>41</v>
      </c>
      <c r="E364" s="4" t="s">
        <v>12</v>
      </c>
      <c r="F364" s="4" t="s">
        <v>47</v>
      </c>
      <c r="G364" s="4">
        <v>1</v>
      </c>
      <c r="H364" s="2">
        <v>999</v>
      </c>
      <c r="I364" s="2">
        <v>999</v>
      </c>
      <c r="J364" s="2" t="str">
        <f t="shared" si="10"/>
        <v>Jul</v>
      </c>
      <c r="K364" s="4">
        <f t="shared" si="11"/>
        <v>2024</v>
      </c>
    </row>
    <row r="365" spans="1:11" x14ac:dyDescent="0.3">
      <c r="A365" s="4" t="s">
        <v>407</v>
      </c>
      <c r="B365" s="8">
        <v>45486</v>
      </c>
      <c r="C365" s="4" t="s">
        <v>20</v>
      </c>
      <c r="D365" s="4" t="s">
        <v>11</v>
      </c>
      <c r="E365" s="4" t="s">
        <v>35</v>
      </c>
      <c r="F365" s="4" t="s">
        <v>13</v>
      </c>
      <c r="G365" s="4">
        <v>4</v>
      </c>
      <c r="H365" s="2">
        <v>399</v>
      </c>
      <c r="I365" s="2">
        <v>1596</v>
      </c>
      <c r="J365" s="2" t="str">
        <f t="shared" si="10"/>
        <v>Jul</v>
      </c>
      <c r="K365" s="4">
        <f t="shared" si="11"/>
        <v>2024</v>
      </c>
    </row>
    <row r="366" spans="1:11" x14ac:dyDescent="0.3">
      <c r="A366" s="4" t="s">
        <v>408</v>
      </c>
      <c r="B366" s="8">
        <v>45488</v>
      </c>
      <c r="C366" s="4" t="s">
        <v>67</v>
      </c>
      <c r="D366" s="4" t="s">
        <v>11</v>
      </c>
      <c r="E366" s="4" t="s">
        <v>24</v>
      </c>
      <c r="F366" s="4" t="s">
        <v>25</v>
      </c>
      <c r="G366" s="4">
        <v>1</v>
      </c>
      <c r="H366" s="2">
        <v>349</v>
      </c>
      <c r="I366" s="2">
        <v>349</v>
      </c>
      <c r="J366" s="2" t="str">
        <f t="shared" si="10"/>
        <v>Jul</v>
      </c>
      <c r="K366" s="4">
        <f t="shared" si="11"/>
        <v>2024</v>
      </c>
    </row>
    <row r="367" spans="1:11" x14ac:dyDescent="0.3">
      <c r="A367" s="4" t="s">
        <v>409</v>
      </c>
      <c r="B367" s="8">
        <v>45489</v>
      </c>
      <c r="C367" s="4" t="s">
        <v>30</v>
      </c>
      <c r="D367" s="4" t="s">
        <v>31</v>
      </c>
      <c r="E367" s="4" t="s">
        <v>24</v>
      </c>
      <c r="F367" s="4" t="s">
        <v>18</v>
      </c>
      <c r="G367" s="4">
        <v>4</v>
      </c>
      <c r="H367" s="2">
        <v>3824.15</v>
      </c>
      <c r="I367" s="2">
        <v>15296.6</v>
      </c>
      <c r="J367" s="2" t="str">
        <f t="shared" si="10"/>
        <v>Jul</v>
      </c>
      <c r="K367" s="4">
        <f t="shared" si="11"/>
        <v>2024</v>
      </c>
    </row>
    <row r="368" spans="1:11" x14ac:dyDescent="0.3">
      <c r="A368" s="4" t="s">
        <v>410</v>
      </c>
      <c r="B368" s="8">
        <v>45489</v>
      </c>
      <c r="C368" s="4" t="s">
        <v>57</v>
      </c>
      <c r="D368" s="4" t="s">
        <v>31</v>
      </c>
      <c r="E368" s="4" t="s">
        <v>17</v>
      </c>
      <c r="F368" s="4" t="s">
        <v>21</v>
      </c>
      <c r="G368" s="4">
        <v>4</v>
      </c>
      <c r="H368" s="2">
        <v>1104.1500000000001</v>
      </c>
      <c r="I368" s="2">
        <v>4416.6000000000004</v>
      </c>
      <c r="J368" s="2" t="str">
        <f t="shared" si="10"/>
        <v>Jul</v>
      </c>
      <c r="K368" s="4">
        <f t="shared" si="11"/>
        <v>2024</v>
      </c>
    </row>
    <row r="369" spans="1:11" x14ac:dyDescent="0.3">
      <c r="A369" s="4" t="s">
        <v>411</v>
      </c>
      <c r="B369" s="8">
        <v>45490</v>
      </c>
      <c r="C369" s="4" t="s">
        <v>10</v>
      </c>
      <c r="D369" s="4" t="s">
        <v>11</v>
      </c>
      <c r="E369" s="4" t="s">
        <v>24</v>
      </c>
      <c r="F369" s="4" t="s">
        <v>25</v>
      </c>
      <c r="G369" s="4">
        <v>6</v>
      </c>
      <c r="H369" s="2">
        <v>299</v>
      </c>
      <c r="I369" s="2">
        <v>1794</v>
      </c>
      <c r="J369" s="2" t="str">
        <f t="shared" si="10"/>
        <v>Jul</v>
      </c>
      <c r="K369" s="4">
        <f t="shared" si="11"/>
        <v>2024</v>
      </c>
    </row>
    <row r="370" spans="1:11" x14ac:dyDescent="0.3">
      <c r="A370" s="4" t="s">
        <v>412</v>
      </c>
      <c r="B370" s="8">
        <v>45490</v>
      </c>
      <c r="C370" s="4" t="s">
        <v>70</v>
      </c>
      <c r="D370" s="4" t="s">
        <v>28</v>
      </c>
      <c r="E370" s="4" t="s">
        <v>17</v>
      </c>
      <c r="F370" s="4" t="s">
        <v>47</v>
      </c>
      <c r="G370" s="4">
        <v>5</v>
      </c>
      <c r="H370" s="2">
        <v>1139.05</v>
      </c>
      <c r="I370" s="2">
        <v>5695.25</v>
      </c>
      <c r="J370" s="2" t="str">
        <f t="shared" si="10"/>
        <v>Jul</v>
      </c>
      <c r="K370" s="4">
        <f t="shared" si="11"/>
        <v>2024</v>
      </c>
    </row>
    <row r="371" spans="1:11" x14ac:dyDescent="0.3">
      <c r="A371" s="4" t="s">
        <v>413</v>
      </c>
      <c r="B371" s="8">
        <v>45491</v>
      </c>
      <c r="C371" s="4" t="s">
        <v>40</v>
      </c>
      <c r="D371" s="4" t="s">
        <v>41</v>
      </c>
      <c r="E371" s="4" t="s">
        <v>35</v>
      </c>
      <c r="F371" s="4" t="s">
        <v>13</v>
      </c>
      <c r="G371" s="4">
        <v>2</v>
      </c>
      <c r="H371" s="2">
        <v>1869.15</v>
      </c>
      <c r="I371" s="2">
        <v>3738.3</v>
      </c>
      <c r="J371" s="2" t="str">
        <f t="shared" si="10"/>
        <v>Jul</v>
      </c>
      <c r="K371" s="4">
        <f t="shared" si="11"/>
        <v>2024</v>
      </c>
    </row>
    <row r="372" spans="1:11" x14ac:dyDescent="0.3">
      <c r="A372" s="4" t="s">
        <v>414</v>
      </c>
      <c r="B372" s="8">
        <v>45491</v>
      </c>
      <c r="C372" s="4" t="s">
        <v>30</v>
      </c>
      <c r="D372" s="4" t="s">
        <v>31</v>
      </c>
      <c r="E372" s="4" t="s">
        <v>12</v>
      </c>
      <c r="F372" s="4" t="s">
        <v>21</v>
      </c>
      <c r="G372" s="4">
        <v>6</v>
      </c>
      <c r="H372" s="2">
        <v>4049.1</v>
      </c>
      <c r="I372" s="2">
        <v>24294.6</v>
      </c>
      <c r="J372" s="2" t="str">
        <f t="shared" si="10"/>
        <v>Jul</v>
      </c>
      <c r="K372" s="4">
        <f t="shared" si="11"/>
        <v>2024</v>
      </c>
    </row>
    <row r="373" spans="1:11" x14ac:dyDescent="0.3">
      <c r="A373" s="4" t="s">
        <v>415</v>
      </c>
      <c r="B373" s="8">
        <v>45491</v>
      </c>
      <c r="C373" s="4" t="s">
        <v>52</v>
      </c>
      <c r="D373" s="4" t="s">
        <v>31</v>
      </c>
      <c r="E373" s="4" t="s">
        <v>24</v>
      </c>
      <c r="F373" s="4" t="s">
        <v>13</v>
      </c>
      <c r="G373" s="4">
        <v>3</v>
      </c>
      <c r="H373" s="2">
        <v>3999</v>
      </c>
      <c r="I373" s="2">
        <v>11997</v>
      </c>
      <c r="J373" s="2" t="str">
        <f t="shared" si="10"/>
        <v>Jul</v>
      </c>
      <c r="K373" s="4">
        <f t="shared" si="11"/>
        <v>2024</v>
      </c>
    </row>
    <row r="374" spans="1:11" x14ac:dyDescent="0.3">
      <c r="A374" s="4" t="s">
        <v>416</v>
      </c>
      <c r="B374" s="8">
        <v>45492</v>
      </c>
      <c r="C374" s="4" t="s">
        <v>34</v>
      </c>
      <c r="D374" s="4" t="s">
        <v>28</v>
      </c>
      <c r="E374" s="4" t="s">
        <v>24</v>
      </c>
      <c r="F374" s="4" t="s">
        <v>13</v>
      </c>
      <c r="G374" s="4">
        <v>7</v>
      </c>
      <c r="H374" s="2">
        <v>799</v>
      </c>
      <c r="I374" s="2">
        <v>5593</v>
      </c>
      <c r="J374" s="2" t="str">
        <f t="shared" si="10"/>
        <v>Jul</v>
      </c>
      <c r="K374" s="4">
        <f t="shared" si="11"/>
        <v>2024</v>
      </c>
    </row>
    <row r="375" spans="1:11" x14ac:dyDescent="0.3">
      <c r="A375" s="4" t="s">
        <v>417</v>
      </c>
      <c r="B375" s="8">
        <v>45493</v>
      </c>
      <c r="C375" s="4" t="s">
        <v>52</v>
      </c>
      <c r="D375" s="4" t="s">
        <v>31</v>
      </c>
      <c r="E375" s="4" t="s">
        <v>17</v>
      </c>
      <c r="F375" s="4" t="s">
        <v>47</v>
      </c>
      <c r="G375" s="4">
        <v>7</v>
      </c>
      <c r="H375" s="2">
        <v>3999</v>
      </c>
      <c r="I375" s="2">
        <v>27993</v>
      </c>
      <c r="J375" s="2" t="str">
        <f t="shared" si="10"/>
        <v>Jul</v>
      </c>
      <c r="K375" s="4">
        <f t="shared" si="11"/>
        <v>2024</v>
      </c>
    </row>
    <row r="376" spans="1:11" x14ac:dyDescent="0.3">
      <c r="A376" s="4" t="s">
        <v>418</v>
      </c>
      <c r="B376" s="8">
        <v>45493</v>
      </c>
      <c r="C376" s="4" t="s">
        <v>27</v>
      </c>
      <c r="D376" s="4" t="s">
        <v>28</v>
      </c>
      <c r="E376" s="4" t="s">
        <v>12</v>
      </c>
      <c r="F376" s="4" t="s">
        <v>21</v>
      </c>
      <c r="G376" s="4">
        <v>3</v>
      </c>
      <c r="H376" s="2">
        <v>3499</v>
      </c>
      <c r="I376" s="2">
        <v>10497</v>
      </c>
      <c r="J376" s="2" t="str">
        <f t="shared" si="10"/>
        <v>Jul</v>
      </c>
      <c r="K376" s="4">
        <f t="shared" si="11"/>
        <v>2024</v>
      </c>
    </row>
    <row r="377" spans="1:11" x14ac:dyDescent="0.3">
      <c r="A377" s="4" t="s">
        <v>419</v>
      </c>
      <c r="B377" s="8">
        <v>45493</v>
      </c>
      <c r="C377" s="4" t="s">
        <v>45</v>
      </c>
      <c r="D377" s="4" t="s">
        <v>16</v>
      </c>
      <c r="E377" s="4" t="s">
        <v>35</v>
      </c>
      <c r="F377" s="4" t="s">
        <v>21</v>
      </c>
      <c r="G377" s="4">
        <v>8</v>
      </c>
      <c r="H377" s="2">
        <v>4674.1499999999996</v>
      </c>
      <c r="I377" s="2">
        <v>37393.199999999997</v>
      </c>
      <c r="J377" s="2" t="str">
        <f t="shared" si="10"/>
        <v>Jul</v>
      </c>
      <c r="K377" s="4">
        <f t="shared" si="11"/>
        <v>2024</v>
      </c>
    </row>
    <row r="378" spans="1:11" x14ac:dyDescent="0.3">
      <c r="A378" s="4" t="s">
        <v>420</v>
      </c>
      <c r="B378" s="8">
        <v>45495</v>
      </c>
      <c r="C378" s="4" t="s">
        <v>86</v>
      </c>
      <c r="D378" s="4" t="s">
        <v>28</v>
      </c>
      <c r="E378" s="4" t="s">
        <v>24</v>
      </c>
      <c r="F378" s="4" t="s">
        <v>32</v>
      </c>
      <c r="G378" s="4">
        <v>7</v>
      </c>
      <c r="H378" s="2">
        <v>899</v>
      </c>
      <c r="I378" s="2">
        <v>6293</v>
      </c>
      <c r="J378" s="2" t="str">
        <f t="shared" si="10"/>
        <v>Jul</v>
      </c>
      <c r="K378" s="4">
        <f t="shared" si="11"/>
        <v>2024</v>
      </c>
    </row>
    <row r="379" spans="1:11" x14ac:dyDescent="0.3">
      <c r="A379" s="4" t="s">
        <v>421</v>
      </c>
      <c r="B379" s="8">
        <v>45495</v>
      </c>
      <c r="C379" s="4" t="s">
        <v>107</v>
      </c>
      <c r="D379" s="4" t="s">
        <v>31</v>
      </c>
      <c r="E379" s="4" t="s">
        <v>12</v>
      </c>
      <c r="F379" s="4" t="s">
        <v>25</v>
      </c>
      <c r="G379" s="4">
        <v>1</v>
      </c>
      <c r="H379" s="2">
        <v>3299</v>
      </c>
      <c r="I379" s="2">
        <v>3299</v>
      </c>
      <c r="J379" s="2" t="str">
        <f t="shared" si="10"/>
        <v>Jul</v>
      </c>
      <c r="K379" s="4">
        <f t="shared" si="11"/>
        <v>2024</v>
      </c>
    </row>
    <row r="380" spans="1:11" x14ac:dyDescent="0.3">
      <c r="A380" s="4" t="s">
        <v>422</v>
      </c>
      <c r="B380" s="8">
        <v>45498</v>
      </c>
      <c r="C380" s="4" t="s">
        <v>86</v>
      </c>
      <c r="D380" s="4" t="s">
        <v>28</v>
      </c>
      <c r="E380" s="4" t="s">
        <v>24</v>
      </c>
      <c r="F380" s="4" t="s">
        <v>47</v>
      </c>
      <c r="G380" s="4">
        <v>2</v>
      </c>
      <c r="H380" s="2">
        <v>854.05</v>
      </c>
      <c r="I380" s="2">
        <v>1708.1</v>
      </c>
      <c r="J380" s="2" t="str">
        <f t="shared" si="10"/>
        <v>Jul</v>
      </c>
      <c r="K380" s="4">
        <f t="shared" si="11"/>
        <v>2024</v>
      </c>
    </row>
    <row r="381" spans="1:11" x14ac:dyDescent="0.3">
      <c r="A381" s="4" t="s">
        <v>423</v>
      </c>
      <c r="B381" s="8">
        <v>45498</v>
      </c>
      <c r="C381" s="4" t="s">
        <v>50</v>
      </c>
      <c r="D381" s="4" t="s">
        <v>41</v>
      </c>
      <c r="E381" s="4" t="s">
        <v>12</v>
      </c>
      <c r="F381" s="4" t="s">
        <v>21</v>
      </c>
      <c r="G381" s="4">
        <v>1</v>
      </c>
      <c r="H381" s="2">
        <v>999</v>
      </c>
      <c r="I381" s="2">
        <v>999</v>
      </c>
      <c r="J381" s="2" t="str">
        <f t="shared" si="10"/>
        <v>Jul</v>
      </c>
      <c r="K381" s="4">
        <f t="shared" si="11"/>
        <v>2024</v>
      </c>
    </row>
    <row r="382" spans="1:11" x14ac:dyDescent="0.3">
      <c r="A382" s="4" t="s">
        <v>424</v>
      </c>
      <c r="B382" s="8">
        <v>45498</v>
      </c>
      <c r="C382" s="4" t="s">
        <v>23</v>
      </c>
      <c r="D382" s="4" t="s">
        <v>16</v>
      </c>
      <c r="E382" s="4" t="s">
        <v>35</v>
      </c>
      <c r="F382" s="4" t="s">
        <v>21</v>
      </c>
      <c r="G382" s="4">
        <v>7</v>
      </c>
      <c r="H382" s="2">
        <v>2499</v>
      </c>
      <c r="I382" s="2">
        <v>17493</v>
      </c>
      <c r="J382" s="2" t="str">
        <f t="shared" si="10"/>
        <v>Jul</v>
      </c>
      <c r="K382" s="4">
        <f t="shared" si="11"/>
        <v>2024</v>
      </c>
    </row>
    <row r="383" spans="1:11" x14ac:dyDescent="0.3">
      <c r="A383" s="4" t="s">
        <v>425</v>
      </c>
      <c r="B383" s="8">
        <v>45499</v>
      </c>
      <c r="C383" s="4" t="s">
        <v>30</v>
      </c>
      <c r="D383" s="4" t="s">
        <v>31</v>
      </c>
      <c r="E383" s="4" t="s">
        <v>24</v>
      </c>
      <c r="F383" s="4" t="s">
        <v>18</v>
      </c>
      <c r="G383" s="4">
        <v>1</v>
      </c>
      <c r="H383" s="2">
        <v>4499</v>
      </c>
      <c r="I383" s="2">
        <v>4499</v>
      </c>
      <c r="J383" s="2" t="str">
        <f t="shared" si="10"/>
        <v>Jul</v>
      </c>
      <c r="K383" s="4">
        <f t="shared" si="11"/>
        <v>2024</v>
      </c>
    </row>
    <row r="384" spans="1:11" x14ac:dyDescent="0.3">
      <c r="A384" s="4" t="s">
        <v>426</v>
      </c>
      <c r="B384" s="8">
        <v>45499</v>
      </c>
      <c r="C384" s="4" t="s">
        <v>52</v>
      </c>
      <c r="D384" s="4" t="s">
        <v>31</v>
      </c>
      <c r="E384" s="4" t="s">
        <v>24</v>
      </c>
      <c r="F384" s="4" t="s">
        <v>25</v>
      </c>
      <c r="G384" s="4">
        <v>1</v>
      </c>
      <c r="H384" s="2">
        <v>3999</v>
      </c>
      <c r="I384" s="2">
        <v>3999</v>
      </c>
      <c r="J384" s="2" t="str">
        <f t="shared" si="10"/>
        <v>Jul</v>
      </c>
      <c r="K384" s="4">
        <f t="shared" si="11"/>
        <v>2024</v>
      </c>
    </row>
    <row r="385" spans="1:11" x14ac:dyDescent="0.3">
      <c r="A385" s="4" t="s">
        <v>427</v>
      </c>
      <c r="B385" s="8">
        <v>45499</v>
      </c>
      <c r="C385" s="4" t="s">
        <v>72</v>
      </c>
      <c r="D385" s="4" t="s">
        <v>16</v>
      </c>
      <c r="E385" s="4" t="s">
        <v>24</v>
      </c>
      <c r="F385" s="4" t="s">
        <v>47</v>
      </c>
      <c r="G385" s="4">
        <v>8</v>
      </c>
      <c r="H385" s="2">
        <v>1799</v>
      </c>
      <c r="I385" s="2">
        <v>14392</v>
      </c>
      <c r="J385" s="2" t="str">
        <f t="shared" si="10"/>
        <v>Jul</v>
      </c>
      <c r="K385" s="4">
        <f t="shared" si="11"/>
        <v>2024</v>
      </c>
    </row>
    <row r="386" spans="1:11" x14ac:dyDescent="0.3">
      <c r="A386" s="4" t="s">
        <v>428</v>
      </c>
      <c r="B386" s="8">
        <v>45500</v>
      </c>
      <c r="C386" s="4" t="s">
        <v>10</v>
      </c>
      <c r="D386" s="4" t="s">
        <v>11</v>
      </c>
      <c r="E386" s="4" t="s">
        <v>17</v>
      </c>
      <c r="F386" s="4" t="s">
        <v>21</v>
      </c>
      <c r="G386" s="4">
        <v>7</v>
      </c>
      <c r="H386" s="2">
        <v>299</v>
      </c>
      <c r="I386" s="2">
        <v>2093</v>
      </c>
      <c r="J386" s="2" t="str">
        <f t="shared" ref="J386:J449" si="12">TEXT(B386,"mmm")</f>
        <v>Jul</v>
      </c>
      <c r="K386" s="4">
        <f t="shared" ref="K386:K449" si="13">YEAR(B386)</f>
        <v>2024</v>
      </c>
    </row>
    <row r="387" spans="1:11" x14ac:dyDescent="0.3">
      <c r="A387" s="4" t="s">
        <v>429</v>
      </c>
      <c r="B387" s="8">
        <v>45501</v>
      </c>
      <c r="C387" s="4" t="s">
        <v>50</v>
      </c>
      <c r="D387" s="4" t="s">
        <v>41</v>
      </c>
      <c r="E387" s="4" t="s">
        <v>12</v>
      </c>
      <c r="F387" s="4" t="s">
        <v>21</v>
      </c>
      <c r="G387" s="4">
        <v>4</v>
      </c>
      <c r="H387" s="2">
        <v>999</v>
      </c>
      <c r="I387" s="2">
        <v>3996</v>
      </c>
      <c r="J387" s="2" t="str">
        <f t="shared" si="12"/>
        <v>Jul</v>
      </c>
      <c r="K387" s="4">
        <f t="shared" si="13"/>
        <v>2024</v>
      </c>
    </row>
    <row r="388" spans="1:11" x14ac:dyDescent="0.3">
      <c r="A388" s="4" t="s">
        <v>430</v>
      </c>
      <c r="B388" s="8">
        <v>45502</v>
      </c>
      <c r="C388" s="4" t="s">
        <v>34</v>
      </c>
      <c r="D388" s="4" t="s">
        <v>28</v>
      </c>
      <c r="E388" s="4" t="s">
        <v>24</v>
      </c>
      <c r="F388" s="4" t="s">
        <v>21</v>
      </c>
      <c r="G388" s="4">
        <v>2</v>
      </c>
      <c r="H388" s="2">
        <v>759.05</v>
      </c>
      <c r="I388" s="2">
        <v>1518.1</v>
      </c>
      <c r="J388" s="2" t="str">
        <f t="shared" si="12"/>
        <v>Jul</v>
      </c>
      <c r="K388" s="4">
        <f t="shared" si="13"/>
        <v>2024</v>
      </c>
    </row>
    <row r="389" spans="1:11" x14ac:dyDescent="0.3">
      <c r="A389" s="4" t="s">
        <v>431</v>
      </c>
      <c r="B389" s="8">
        <v>45502</v>
      </c>
      <c r="C389" s="4" t="s">
        <v>59</v>
      </c>
      <c r="D389" s="4" t="s">
        <v>41</v>
      </c>
      <c r="E389" s="4" t="s">
        <v>17</v>
      </c>
      <c r="F389" s="4" t="s">
        <v>47</v>
      </c>
      <c r="G389" s="4">
        <v>9</v>
      </c>
      <c r="H389" s="2">
        <v>1499</v>
      </c>
      <c r="I389" s="2">
        <v>13491</v>
      </c>
      <c r="J389" s="2" t="str">
        <f t="shared" si="12"/>
        <v>Jul</v>
      </c>
      <c r="K389" s="4">
        <f t="shared" si="13"/>
        <v>2024</v>
      </c>
    </row>
    <row r="390" spans="1:11" x14ac:dyDescent="0.3">
      <c r="A390" s="4" t="s">
        <v>432</v>
      </c>
      <c r="B390" s="8">
        <v>45502</v>
      </c>
      <c r="C390" s="4" t="s">
        <v>37</v>
      </c>
      <c r="D390" s="4" t="s">
        <v>16</v>
      </c>
      <c r="E390" s="4" t="s">
        <v>17</v>
      </c>
      <c r="F390" s="4" t="s">
        <v>18</v>
      </c>
      <c r="G390" s="4">
        <v>3</v>
      </c>
      <c r="H390" s="2">
        <v>899</v>
      </c>
      <c r="I390" s="2">
        <v>2697</v>
      </c>
      <c r="J390" s="2" t="str">
        <f t="shared" si="12"/>
        <v>Jul</v>
      </c>
      <c r="K390" s="4">
        <f t="shared" si="13"/>
        <v>2024</v>
      </c>
    </row>
    <row r="391" spans="1:11" x14ac:dyDescent="0.3">
      <c r="A391" s="4" t="s">
        <v>433</v>
      </c>
      <c r="B391" s="8">
        <v>45503</v>
      </c>
      <c r="C391" s="4" t="s">
        <v>15</v>
      </c>
      <c r="D391" s="4" t="s">
        <v>16</v>
      </c>
      <c r="E391" s="4" t="s">
        <v>17</v>
      </c>
      <c r="F391" s="4" t="s">
        <v>21</v>
      </c>
      <c r="G391" s="4">
        <v>7</v>
      </c>
      <c r="H391" s="2">
        <v>1999</v>
      </c>
      <c r="I391" s="2">
        <v>13993</v>
      </c>
      <c r="J391" s="2" t="str">
        <f t="shared" si="12"/>
        <v>Jul</v>
      </c>
      <c r="K391" s="4">
        <f t="shared" si="13"/>
        <v>2024</v>
      </c>
    </row>
    <row r="392" spans="1:11" x14ac:dyDescent="0.3">
      <c r="A392" s="4" t="s">
        <v>434</v>
      </c>
      <c r="B392" s="8">
        <v>45504</v>
      </c>
      <c r="C392" s="4" t="s">
        <v>70</v>
      </c>
      <c r="D392" s="4" t="s">
        <v>28</v>
      </c>
      <c r="E392" s="4" t="s">
        <v>24</v>
      </c>
      <c r="F392" s="4" t="s">
        <v>47</v>
      </c>
      <c r="G392" s="4">
        <v>8</v>
      </c>
      <c r="H392" s="2">
        <v>1199</v>
      </c>
      <c r="I392" s="2">
        <v>9592</v>
      </c>
      <c r="J392" s="2" t="str">
        <f t="shared" si="12"/>
        <v>Jul</v>
      </c>
      <c r="K392" s="4">
        <f t="shared" si="13"/>
        <v>2024</v>
      </c>
    </row>
    <row r="393" spans="1:11" x14ac:dyDescent="0.3">
      <c r="A393" s="4" t="s">
        <v>435</v>
      </c>
      <c r="B393" s="8">
        <v>45504</v>
      </c>
      <c r="C393" s="4" t="s">
        <v>86</v>
      </c>
      <c r="D393" s="4" t="s">
        <v>28</v>
      </c>
      <c r="E393" s="4" t="s">
        <v>35</v>
      </c>
      <c r="F393" s="4" t="s">
        <v>32</v>
      </c>
      <c r="G393" s="4">
        <v>2</v>
      </c>
      <c r="H393" s="2">
        <v>899</v>
      </c>
      <c r="I393" s="2">
        <v>1798</v>
      </c>
      <c r="J393" s="2" t="str">
        <f t="shared" si="12"/>
        <v>Jul</v>
      </c>
      <c r="K393" s="4">
        <f t="shared" si="13"/>
        <v>2024</v>
      </c>
    </row>
    <row r="394" spans="1:11" x14ac:dyDescent="0.3">
      <c r="A394" s="4" t="s">
        <v>436</v>
      </c>
      <c r="B394" s="8">
        <v>45504</v>
      </c>
      <c r="C394" s="4" t="s">
        <v>59</v>
      </c>
      <c r="D394" s="4" t="s">
        <v>41</v>
      </c>
      <c r="E394" s="4" t="s">
        <v>24</v>
      </c>
      <c r="F394" s="4" t="s">
        <v>21</v>
      </c>
      <c r="G394" s="4">
        <v>1</v>
      </c>
      <c r="H394" s="2">
        <v>1499</v>
      </c>
      <c r="I394" s="2">
        <v>1499</v>
      </c>
      <c r="J394" s="2" t="str">
        <f t="shared" si="12"/>
        <v>Jul</v>
      </c>
      <c r="K394" s="4">
        <f t="shared" si="13"/>
        <v>2024</v>
      </c>
    </row>
    <row r="395" spans="1:11" x14ac:dyDescent="0.3">
      <c r="A395" s="4" t="s">
        <v>437</v>
      </c>
      <c r="B395" s="8">
        <v>45505</v>
      </c>
      <c r="C395" s="4" t="s">
        <v>70</v>
      </c>
      <c r="D395" s="4" t="s">
        <v>28</v>
      </c>
      <c r="E395" s="4" t="s">
        <v>24</v>
      </c>
      <c r="F395" s="4" t="s">
        <v>32</v>
      </c>
      <c r="G395" s="4">
        <v>8</v>
      </c>
      <c r="H395" s="2">
        <v>1079.0999999999999</v>
      </c>
      <c r="I395" s="2">
        <v>8632.7999999999993</v>
      </c>
      <c r="J395" s="2" t="str">
        <f t="shared" si="12"/>
        <v>Aug</v>
      </c>
      <c r="K395" s="4">
        <f t="shared" si="13"/>
        <v>2024</v>
      </c>
    </row>
    <row r="396" spans="1:11" x14ac:dyDescent="0.3">
      <c r="A396" s="4" t="s">
        <v>438</v>
      </c>
      <c r="B396" s="8">
        <v>45506</v>
      </c>
      <c r="C396" s="4" t="s">
        <v>15</v>
      </c>
      <c r="D396" s="4" t="s">
        <v>16</v>
      </c>
      <c r="E396" s="4" t="s">
        <v>12</v>
      </c>
      <c r="F396" s="4" t="s">
        <v>47</v>
      </c>
      <c r="G396" s="4">
        <v>4</v>
      </c>
      <c r="H396" s="2">
        <v>1999</v>
      </c>
      <c r="I396" s="2">
        <v>7996</v>
      </c>
      <c r="J396" s="2" t="str">
        <f t="shared" si="12"/>
        <v>Aug</v>
      </c>
      <c r="K396" s="4">
        <f t="shared" si="13"/>
        <v>2024</v>
      </c>
    </row>
    <row r="397" spans="1:11" x14ac:dyDescent="0.3">
      <c r="A397" s="4" t="s">
        <v>439</v>
      </c>
      <c r="B397" s="8">
        <v>45506</v>
      </c>
      <c r="C397" s="4" t="s">
        <v>40</v>
      </c>
      <c r="D397" s="4" t="s">
        <v>41</v>
      </c>
      <c r="E397" s="4" t="s">
        <v>12</v>
      </c>
      <c r="F397" s="4" t="s">
        <v>32</v>
      </c>
      <c r="G397" s="4">
        <v>3</v>
      </c>
      <c r="H397" s="2">
        <v>2199</v>
      </c>
      <c r="I397" s="2">
        <v>6597</v>
      </c>
      <c r="J397" s="2" t="str">
        <f t="shared" si="12"/>
        <v>Aug</v>
      </c>
      <c r="K397" s="4">
        <f t="shared" si="13"/>
        <v>2024</v>
      </c>
    </row>
    <row r="398" spans="1:11" x14ac:dyDescent="0.3">
      <c r="A398" s="4" t="s">
        <v>440</v>
      </c>
      <c r="B398" s="8">
        <v>45506</v>
      </c>
      <c r="C398" s="4" t="s">
        <v>20</v>
      </c>
      <c r="D398" s="4" t="s">
        <v>11</v>
      </c>
      <c r="E398" s="4" t="s">
        <v>35</v>
      </c>
      <c r="F398" s="4" t="s">
        <v>25</v>
      </c>
      <c r="G398" s="4">
        <v>7</v>
      </c>
      <c r="H398" s="2">
        <v>399</v>
      </c>
      <c r="I398" s="2">
        <v>2793</v>
      </c>
      <c r="J398" s="2" t="str">
        <f t="shared" si="12"/>
        <v>Aug</v>
      </c>
      <c r="K398" s="4">
        <f t="shared" si="13"/>
        <v>2024</v>
      </c>
    </row>
    <row r="399" spans="1:11" x14ac:dyDescent="0.3">
      <c r="A399" s="4" t="s">
        <v>441</v>
      </c>
      <c r="B399" s="8">
        <v>45507</v>
      </c>
      <c r="C399" s="4" t="s">
        <v>72</v>
      </c>
      <c r="D399" s="4" t="s">
        <v>16</v>
      </c>
      <c r="E399" s="4" t="s">
        <v>17</v>
      </c>
      <c r="F399" s="4" t="s">
        <v>25</v>
      </c>
      <c r="G399" s="4">
        <v>4</v>
      </c>
      <c r="H399" s="2">
        <v>1799</v>
      </c>
      <c r="I399" s="2">
        <v>7196</v>
      </c>
      <c r="J399" s="2" t="str">
        <f t="shared" si="12"/>
        <v>Aug</v>
      </c>
      <c r="K399" s="4">
        <f t="shared" si="13"/>
        <v>2024</v>
      </c>
    </row>
    <row r="400" spans="1:11" x14ac:dyDescent="0.3">
      <c r="A400" s="4" t="s">
        <v>442</v>
      </c>
      <c r="B400" s="8">
        <v>45507</v>
      </c>
      <c r="C400" s="4" t="s">
        <v>72</v>
      </c>
      <c r="D400" s="4" t="s">
        <v>16</v>
      </c>
      <c r="E400" s="4" t="s">
        <v>35</v>
      </c>
      <c r="F400" s="4" t="s">
        <v>21</v>
      </c>
      <c r="G400" s="4">
        <v>2</v>
      </c>
      <c r="H400" s="2">
        <v>1799</v>
      </c>
      <c r="I400" s="2">
        <v>3598</v>
      </c>
      <c r="J400" s="2" t="str">
        <f t="shared" si="12"/>
        <v>Aug</v>
      </c>
      <c r="K400" s="4">
        <f t="shared" si="13"/>
        <v>2024</v>
      </c>
    </row>
    <row r="401" spans="1:11" x14ac:dyDescent="0.3">
      <c r="A401" s="4" t="s">
        <v>443</v>
      </c>
      <c r="B401" s="8">
        <v>45507</v>
      </c>
      <c r="C401" s="4" t="s">
        <v>67</v>
      </c>
      <c r="D401" s="4" t="s">
        <v>11</v>
      </c>
      <c r="E401" s="4" t="s">
        <v>17</v>
      </c>
      <c r="F401" s="4" t="s">
        <v>25</v>
      </c>
      <c r="G401" s="4">
        <v>1</v>
      </c>
      <c r="H401" s="2">
        <v>349</v>
      </c>
      <c r="I401" s="2">
        <v>349</v>
      </c>
      <c r="J401" s="2" t="str">
        <f t="shared" si="12"/>
        <v>Aug</v>
      </c>
      <c r="K401" s="4">
        <f t="shared" si="13"/>
        <v>2024</v>
      </c>
    </row>
    <row r="402" spans="1:11" x14ac:dyDescent="0.3">
      <c r="A402" s="4" t="s">
        <v>444</v>
      </c>
      <c r="B402" s="8">
        <v>45507</v>
      </c>
      <c r="C402" s="4" t="s">
        <v>50</v>
      </c>
      <c r="D402" s="4" t="s">
        <v>41</v>
      </c>
      <c r="E402" s="4" t="s">
        <v>24</v>
      </c>
      <c r="F402" s="4" t="s">
        <v>32</v>
      </c>
      <c r="G402" s="4">
        <v>5</v>
      </c>
      <c r="H402" s="2">
        <v>949.05</v>
      </c>
      <c r="I402" s="2">
        <v>4745.25</v>
      </c>
      <c r="J402" s="2" t="str">
        <f t="shared" si="12"/>
        <v>Aug</v>
      </c>
      <c r="K402" s="4">
        <f t="shared" si="13"/>
        <v>2024</v>
      </c>
    </row>
    <row r="403" spans="1:11" x14ac:dyDescent="0.3">
      <c r="A403" s="4" t="s">
        <v>445</v>
      </c>
      <c r="B403" s="8">
        <v>45508</v>
      </c>
      <c r="C403" s="4" t="s">
        <v>45</v>
      </c>
      <c r="D403" s="4" t="s">
        <v>16</v>
      </c>
      <c r="E403" s="4" t="s">
        <v>24</v>
      </c>
      <c r="F403" s="4" t="s">
        <v>18</v>
      </c>
      <c r="G403" s="4">
        <v>3</v>
      </c>
      <c r="H403" s="2">
        <v>5499</v>
      </c>
      <c r="I403" s="2">
        <v>16497</v>
      </c>
      <c r="J403" s="2" t="str">
        <f t="shared" si="12"/>
        <v>Aug</v>
      </c>
      <c r="K403" s="4">
        <f t="shared" si="13"/>
        <v>2024</v>
      </c>
    </row>
    <row r="404" spans="1:11" x14ac:dyDescent="0.3">
      <c r="A404" s="4" t="s">
        <v>446</v>
      </c>
      <c r="B404" s="8">
        <v>45508</v>
      </c>
      <c r="C404" s="4" t="s">
        <v>64</v>
      </c>
      <c r="D404" s="4" t="s">
        <v>41</v>
      </c>
      <c r="E404" s="4" t="s">
        <v>35</v>
      </c>
      <c r="F404" s="4" t="s">
        <v>21</v>
      </c>
      <c r="G404" s="4">
        <v>3</v>
      </c>
      <c r="H404" s="2">
        <v>1709.05</v>
      </c>
      <c r="I404" s="2">
        <v>5127.1499999999996</v>
      </c>
      <c r="J404" s="2" t="str">
        <f t="shared" si="12"/>
        <v>Aug</v>
      </c>
      <c r="K404" s="4">
        <f t="shared" si="13"/>
        <v>2024</v>
      </c>
    </row>
    <row r="405" spans="1:11" x14ac:dyDescent="0.3">
      <c r="A405" s="4" t="s">
        <v>447</v>
      </c>
      <c r="B405" s="8">
        <v>45509</v>
      </c>
      <c r="C405" s="4" t="s">
        <v>20</v>
      </c>
      <c r="D405" s="4" t="s">
        <v>11</v>
      </c>
      <c r="E405" s="4" t="s">
        <v>12</v>
      </c>
      <c r="F405" s="4" t="s">
        <v>18</v>
      </c>
      <c r="G405" s="4">
        <v>7</v>
      </c>
      <c r="H405" s="2">
        <v>399</v>
      </c>
      <c r="I405" s="2">
        <v>2793</v>
      </c>
      <c r="J405" s="2" t="str">
        <f t="shared" si="12"/>
        <v>Aug</v>
      </c>
      <c r="K405" s="4">
        <f t="shared" si="13"/>
        <v>2024</v>
      </c>
    </row>
    <row r="406" spans="1:11" x14ac:dyDescent="0.3">
      <c r="A406" s="4" t="s">
        <v>448</v>
      </c>
      <c r="B406" s="8">
        <v>45509</v>
      </c>
      <c r="C406" s="4" t="s">
        <v>107</v>
      </c>
      <c r="D406" s="4" t="s">
        <v>31</v>
      </c>
      <c r="E406" s="4" t="s">
        <v>24</v>
      </c>
      <c r="F406" s="4" t="s">
        <v>25</v>
      </c>
      <c r="G406" s="4">
        <v>8</v>
      </c>
      <c r="H406" s="2">
        <v>3299</v>
      </c>
      <c r="I406" s="2">
        <v>26392</v>
      </c>
      <c r="J406" s="2" t="str">
        <f t="shared" si="12"/>
        <v>Aug</v>
      </c>
      <c r="K406" s="4">
        <f t="shared" si="13"/>
        <v>2024</v>
      </c>
    </row>
    <row r="407" spans="1:11" x14ac:dyDescent="0.3">
      <c r="A407" s="4" t="s">
        <v>449</v>
      </c>
      <c r="B407" s="8">
        <v>45510</v>
      </c>
      <c r="C407" s="4" t="s">
        <v>34</v>
      </c>
      <c r="D407" s="4" t="s">
        <v>28</v>
      </c>
      <c r="E407" s="4" t="s">
        <v>12</v>
      </c>
      <c r="F407" s="4" t="s">
        <v>13</v>
      </c>
      <c r="G407" s="4">
        <v>2</v>
      </c>
      <c r="H407" s="2">
        <v>799</v>
      </c>
      <c r="I407" s="2">
        <v>1598</v>
      </c>
      <c r="J407" s="2" t="str">
        <f t="shared" si="12"/>
        <v>Aug</v>
      </c>
      <c r="K407" s="4">
        <f t="shared" si="13"/>
        <v>2024</v>
      </c>
    </row>
    <row r="408" spans="1:11" x14ac:dyDescent="0.3">
      <c r="A408" s="4" t="s">
        <v>450</v>
      </c>
      <c r="B408" s="8">
        <v>45511</v>
      </c>
      <c r="C408" s="4" t="s">
        <v>52</v>
      </c>
      <c r="D408" s="4" t="s">
        <v>31</v>
      </c>
      <c r="E408" s="4" t="s">
        <v>35</v>
      </c>
      <c r="F408" s="4" t="s">
        <v>47</v>
      </c>
      <c r="G408" s="4">
        <v>1</v>
      </c>
      <c r="H408" s="2">
        <v>3599.1</v>
      </c>
      <c r="I408" s="2">
        <v>3599.1</v>
      </c>
      <c r="J408" s="2" t="str">
        <f t="shared" si="12"/>
        <v>Aug</v>
      </c>
      <c r="K408" s="4">
        <f t="shared" si="13"/>
        <v>2024</v>
      </c>
    </row>
    <row r="409" spans="1:11" x14ac:dyDescent="0.3">
      <c r="A409" s="4" t="s">
        <v>451</v>
      </c>
      <c r="B409" s="8">
        <v>45511</v>
      </c>
      <c r="C409" s="4" t="s">
        <v>72</v>
      </c>
      <c r="D409" s="4" t="s">
        <v>16</v>
      </c>
      <c r="E409" s="4" t="s">
        <v>17</v>
      </c>
      <c r="F409" s="4" t="s">
        <v>21</v>
      </c>
      <c r="G409" s="4">
        <v>9</v>
      </c>
      <c r="H409" s="2">
        <v>1799</v>
      </c>
      <c r="I409" s="2">
        <v>16191</v>
      </c>
      <c r="J409" s="2" t="str">
        <f t="shared" si="12"/>
        <v>Aug</v>
      </c>
      <c r="K409" s="4">
        <f t="shared" si="13"/>
        <v>2024</v>
      </c>
    </row>
    <row r="410" spans="1:11" x14ac:dyDescent="0.3">
      <c r="A410" s="4" t="s">
        <v>452</v>
      </c>
      <c r="B410" s="8">
        <v>45513</v>
      </c>
      <c r="C410" s="4" t="s">
        <v>23</v>
      </c>
      <c r="D410" s="4" t="s">
        <v>16</v>
      </c>
      <c r="E410" s="4" t="s">
        <v>12</v>
      </c>
      <c r="F410" s="4" t="s">
        <v>25</v>
      </c>
      <c r="G410" s="4">
        <v>5</v>
      </c>
      <c r="H410" s="2">
        <v>2499</v>
      </c>
      <c r="I410" s="2">
        <v>12495</v>
      </c>
      <c r="J410" s="2" t="str">
        <f t="shared" si="12"/>
        <v>Aug</v>
      </c>
      <c r="K410" s="4">
        <f t="shared" si="13"/>
        <v>2024</v>
      </c>
    </row>
    <row r="411" spans="1:11" x14ac:dyDescent="0.3">
      <c r="A411" s="4" t="s">
        <v>453</v>
      </c>
      <c r="B411" s="8">
        <v>45514</v>
      </c>
      <c r="C411" s="4" t="s">
        <v>10</v>
      </c>
      <c r="D411" s="4" t="s">
        <v>11</v>
      </c>
      <c r="E411" s="4" t="s">
        <v>12</v>
      </c>
      <c r="F411" s="4" t="s">
        <v>32</v>
      </c>
      <c r="G411" s="4">
        <v>4</v>
      </c>
      <c r="H411" s="2">
        <v>299</v>
      </c>
      <c r="I411" s="2">
        <v>1196</v>
      </c>
      <c r="J411" s="2" t="str">
        <f t="shared" si="12"/>
        <v>Aug</v>
      </c>
      <c r="K411" s="4">
        <f t="shared" si="13"/>
        <v>2024</v>
      </c>
    </row>
    <row r="412" spans="1:11" x14ac:dyDescent="0.3">
      <c r="A412" s="4" t="s">
        <v>454</v>
      </c>
      <c r="B412" s="8">
        <v>45514</v>
      </c>
      <c r="C412" s="4" t="s">
        <v>37</v>
      </c>
      <c r="D412" s="4" t="s">
        <v>16</v>
      </c>
      <c r="E412" s="4" t="s">
        <v>35</v>
      </c>
      <c r="F412" s="4" t="s">
        <v>32</v>
      </c>
      <c r="G412" s="4">
        <v>3</v>
      </c>
      <c r="H412" s="2">
        <v>764.15</v>
      </c>
      <c r="I412" s="2">
        <v>2292.4499999999998</v>
      </c>
      <c r="J412" s="2" t="str">
        <f t="shared" si="12"/>
        <v>Aug</v>
      </c>
      <c r="K412" s="4">
        <f t="shared" si="13"/>
        <v>2024</v>
      </c>
    </row>
    <row r="413" spans="1:11" x14ac:dyDescent="0.3">
      <c r="A413" s="4" t="s">
        <v>455</v>
      </c>
      <c r="B413" s="8">
        <v>45514</v>
      </c>
      <c r="C413" s="4" t="s">
        <v>107</v>
      </c>
      <c r="D413" s="4" t="s">
        <v>31</v>
      </c>
      <c r="E413" s="4" t="s">
        <v>12</v>
      </c>
      <c r="F413" s="4" t="s">
        <v>25</v>
      </c>
      <c r="G413" s="4">
        <v>3</v>
      </c>
      <c r="H413" s="2">
        <v>3134.05</v>
      </c>
      <c r="I413" s="2">
        <v>9402.15</v>
      </c>
      <c r="J413" s="2" t="str">
        <f t="shared" si="12"/>
        <v>Aug</v>
      </c>
      <c r="K413" s="4">
        <f t="shared" si="13"/>
        <v>2024</v>
      </c>
    </row>
    <row r="414" spans="1:11" x14ac:dyDescent="0.3">
      <c r="A414" s="4" t="s">
        <v>456</v>
      </c>
      <c r="B414" s="8">
        <v>45515</v>
      </c>
      <c r="C414" s="4" t="s">
        <v>86</v>
      </c>
      <c r="D414" s="4" t="s">
        <v>28</v>
      </c>
      <c r="E414" s="4" t="s">
        <v>35</v>
      </c>
      <c r="F414" s="4" t="s">
        <v>32</v>
      </c>
      <c r="G414" s="4">
        <v>5</v>
      </c>
      <c r="H414" s="2">
        <v>899</v>
      </c>
      <c r="I414" s="2">
        <v>4495</v>
      </c>
      <c r="J414" s="2" t="str">
        <f t="shared" si="12"/>
        <v>Aug</v>
      </c>
      <c r="K414" s="4">
        <f t="shared" si="13"/>
        <v>2024</v>
      </c>
    </row>
    <row r="415" spans="1:11" x14ac:dyDescent="0.3">
      <c r="A415" s="4" t="s">
        <v>457</v>
      </c>
      <c r="B415" s="8">
        <v>45515</v>
      </c>
      <c r="C415" s="4" t="s">
        <v>67</v>
      </c>
      <c r="D415" s="4" t="s">
        <v>11</v>
      </c>
      <c r="E415" s="4" t="s">
        <v>17</v>
      </c>
      <c r="F415" s="4" t="s">
        <v>47</v>
      </c>
      <c r="G415" s="4">
        <v>3</v>
      </c>
      <c r="H415" s="2">
        <v>349</v>
      </c>
      <c r="I415" s="2">
        <v>1047</v>
      </c>
      <c r="J415" s="2" t="str">
        <f t="shared" si="12"/>
        <v>Aug</v>
      </c>
      <c r="K415" s="4">
        <f t="shared" si="13"/>
        <v>2024</v>
      </c>
    </row>
    <row r="416" spans="1:11" x14ac:dyDescent="0.3">
      <c r="A416" s="4" t="s">
        <v>458</v>
      </c>
      <c r="B416" s="8">
        <v>45516</v>
      </c>
      <c r="C416" s="4" t="s">
        <v>30</v>
      </c>
      <c r="D416" s="4" t="s">
        <v>31</v>
      </c>
      <c r="E416" s="4" t="s">
        <v>24</v>
      </c>
      <c r="F416" s="4" t="s">
        <v>21</v>
      </c>
      <c r="G416" s="4">
        <v>3</v>
      </c>
      <c r="H416" s="2">
        <v>4499</v>
      </c>
      <c r="I416" s="2">
        <v>13497</v>
      </c>
      <c r="J416" s="2" t="str">
        <f t="shared" si="12"/>
        <v>Aug</v>
      </c>
      <c r="K416" s="4">
        <f t="shared" si="13"/>
        <v>2024</v>
      </c>
    </row>
    <row r="417" spans="1:11" x14ac:dyDescent="0.3">
      <c r="A417" s="4" t="s">
        <v>459</v>
      </c>
      <c r="B417" s="8">
        <v>45517</v>
      </c>
      <c r="C417" s="4" t="s">
        <v>52</v>
      </c>
      <c r="D417" s="4" t="s">
        <v>31</v>
      </c>
      <c r="E417" s="4" t="s">
        <v>24</v>
      </c>
      <c r="F417" s="4" t="s">
        <v>18</v>
      </c>
      <c r="G417" s="4">
        <v>2</v>
      </c>
      <c r="H417" s="2">
        <v>3799.05</v>
      </c>
      <c r="I417" s="2">
        <v>7598.1</v>
      </c>
      <c r="J417" s="2" t="str">
        <f t="shared" si="12"/>
        <v>Aug</v>
      </c>
      <c r="K417" s="4">
        <f t="shared" si="13"/>
        <v>2024</v>
      </c>
    </row>
    <row r="418" spans="1:11" x14ac:dyDescent="0.3">
      <c r="A418" s="4" t="s">
        <v>460</v>
      </c>
      <c r="B418" s="8">
        <v>45517</v>
      </c>
      <c r="C418" s="4" t="s">
        <v>59</v>
      </c>
      <c r="D418" s="4" t="s">
        <v>41</v>
      </c>
      <c r="E418" s="4" t="s">
        <v>24</v>
      </c>
      <c r="F418" s="4" t="s">
        <v>18</v>
      </c>
      <c r="G418" s="4">
        <v>5</v>
      </c>
      <c r="H418" s="2">
        <v>1499</v>
      </c>
      <c r="I418" s="2">
        <v>7495</v>
      </c>
      <c r="J418" s="2" t="str">
        <f t="shared" si="12"/>
        <v>Aug</v>
      </c>
      <c r="K418" s="4">
        <f t="shared" si="13"/>
        <v>2024</v>
      </c>
    </row>
    <row r="419" spans="1:11" x14ac:dyDescent="0.3">
      <c r="A419" s="4" t="s">
        <v>461</v>
      </c>
      <c r="B419" s="8">
        <v>45517</v>
      </c>
      <c r="C419" s="4" t="s">
        <v>45</v>
      </c>
      <c r="D419" s="4" t="s">
        <v>16</v>
      </c>
      <c r="E419" s="4" t="s">
        <v>12</v>
      </c>
      <c r="F419" s="4" t="s">
        <v>32</v>
      </c>
      <c r="G419" s="4">
        <v>1</v>
      </c>
      <c r="H419" s="2">
        <v>5224.05</v>
      </c>
      <c r="I419" s="2">
        <v>5224.05</v>
      </c>
      <c r="J419" s="2" t="str">
        <f t="shared" si="12"/>
        <v>Aug</v>
      </c>
      <c r="K419" s="4">
        <f t="shared" si="13"/>
        <v>2024</v>
      </c>
    </row>
    <row r="420" spans="1:11" x14ac:dyDescent="0.3">
      <c r="A420" s="4" t="s">
        <v>462</v>
      </c>
      <c r="B420" s="8">
        <v>45518</v>
      </c>
      <c r="C420" s="4" t="s">
        <v>67</v>
      </c>
      <c r="D420" s="4" t="s">
        <v>11</v>
      </c>
      <c r="E420" s="4" t="s">
        <v>17</v>
      </c>
      <c r="F420" s="4" t="s">
        <v>47</v>
      </c>
      <c r="G420" s="4">
        <v>7</v>
      </c>
      <c r="H420" s="2">
        <v>349</v>
      </c>
      <c r="I420" s="2">
        <v>2443</v>
      </c>
      <c r="J420" s="2" t="str">
        <f t="shared" si="12"/>
        <v>Aug</v>
      </c>
      <c r="K420" s="4">
        <f t="shared" si="13"/>
        <v>2024</v>
      </c>
    </row>
    <row r="421" spans="1:11" x14ac:dyDescent="0.3">
      <c r="A421" s="4" t="s">
        <v>463</v>
      </c>
      <c r="B421" s="8">
        <v>45518</v>
      </c>
      <c r="C421" s="4" t="s">
        <v>107</v>
      </c>
      <c r="D421" s="4" t="s">
        <v>31</v>
      </c>
      <c r="E421" s="4" t="s">
        <v>35</v>
      </c>
      <c r="F421" s="4" t="s">
        <v>32</v>
      </c>
      <c r="G421" s="4">
        <v>5</v>
      </c>
      <c r="H421" s="2">
        <v>2969.1</v>
      </c>
      <c r="I421" s="2">
        <v>14845.5</v>
      </c>
      <c r="J421" s="2" t="str">
        <f t="shared" si="12"/>
        <v>Aug</v>
      </c>
      <c r="K421" s="4">
        <f t="shared" si="13"/>
        <v>2024</v>
      </c>
    </row>
    <row r="422" spans="1:11" x14ac:dyDescent="0.3">
      <c r="A422" s="4" t="s">
        <v>464</v>
      </c>
      <c r="B422" s="8">
        <v>45518</v>
      </c>
      <c r="C422" s="4" t="s">
        <v>27</v>
      </c>
      <c r="D422" s="4" t="s">
        <v>28</v>
      </c>
      <c r="E422" s="4" t="s">
        <v>35</v>
      </c>
      <c r="F422" s="4" t="s">
        <v>25</v>
      </c>
      <c r="G422" s="4">
        <v>3</v>
      </c>
      <c r="H422" s="2">
        <v>3324.05</v>
      </c>
      <c r="I422" s="2">
        <v>9972.15</v>
      </c>
      <c r="J422" s="2" t="str">
        <f t="shared" si="12"/>
        <v>Aug</v>
      </c>
      <c r="K422" s="4">
        <f t="shared" si="13"/>
        <v>2024</v>
      </c>
    </row>
    <row r="423" spans="1:11" x14ac:dyDescent="0.3">
      <c r="A423" s="4" t="s">
        <v>465</v>
      </c>
      <c r="B423" s="8">
        <v>45518</v>
      </c>
      <c r="C423" s="4" t="s">
        <v>50</v>
      </c>
      <c r="D423" s="4" t="s">
        <v>41</v>
      </c>
      <c r="E423" s="4" t="s">
        <v>17</v>
      </c>
      <c r="F423" s="4" t="s">
        <v>13</v>
      </c>
      <c r="G423" s="4">
        <v>6</v>
      </c>
      <c r="H423" s="2">
        <v>999</v>
      </c>
      <c r="I423" s="2">
        <v>5994</v>
      </c>
      <c r="J423" s="2" t="str">
        <f t="shared" si="12"/>
        <v>Aug</v>
      </c>
      <c r="K423" s="4">
        <f t="shared" si="13"/>
        <v>2024</v>
      </c>
    </row>
    <row r="424" spans="1:11" x14ac:dyDescent="0.3">
      <c r="A424" s="4" t="s">
        <v>466</v>
      </c>
      <c r="B424" s="8">
        <v>45519</v>
      </c>
      <c r="C424" s="4" t="s">
        <v>52</v>
      </c>
      <c r="D424" s="4" t="s">
        <v>31</v>
      </c>
      <c r="E424" s="4" t="s">
        <v>24</v>
      </c>
      <c r="F424" s="4" t="s">
        <v>13</v>
      </c>
      <c r="G424" s="4">
        <v>2</v>
      </c>
      <c r="H424" s="2">
        <v>3999</v>
      </c>
      <c r="I424" s="2">
        <v>7998</v>
      </c>
      <c r="J424" s="2" t="str">
        <f t="shared" si="12"/>
        <v>Aug</v>
      </c>
      <c r="K424" s="4">
        <f t="shared" si="13"/>
        <v>2024</v>
      </c>
    </row>
    <row r="425" spans="1:11" x14ac:dyDescent="0.3">
      <c r="A425" s="4" t="s">
        <v>467</v>
      </c>
      <c r="B425" s="8">
        <v>45519</v>
      </c>
      <c r="C425" s="4" t="s">
        <v>27</v>
      </c>
      <c r="D425" s="4" t="s">
        <v>28</v>
      </c>
      <c r="E425" s="4" t="s">
        <v>35</v>
      </c>
      <c r="F425" s="4" t="s">
        <v>25</v>
      </c>
      <c r="G425" s="4">
        <v>2</v>
      </c>
      <c r="H425" s="2">
        <v>3499</v>
      </c>
      <c r="I425" s="2">
        <v>6998</v>
      </c>
      <c r="J425" s="2" t="str">
        <f t="shared" si="12"/>
        <v>Aug</v>
      </c>
      <c r="K425" s="4">
        <f t="shared" si="13"/>
        <v>2024</v>
      </c>
    </row>
    <row r="426" spans="1:11" x14ac:dyDescent="0.3">
      <c r="A426" s="4" t="s">
        <v>468</v>
      </c>
      <c r="B426" s="8">
        <v>45519</v>
      </c>
      <c r="C426" s="4" t="s">
        <v>72</v>
      </c>
      <c r="D426" s="4" t="s">
        <v>16</v>
      </c>
      <c r="E426" s="4" t="s">
        <v>35</v>
      </c>
      <c r="F426" s="4" t="s">
        <v>25</v>
      </c>
      <c r="G426" s="4">
        <v>6</v>
      </c>
      <c r="H426" s="2">
        <v>1529.15</v>
      </c>
      <c r="I426" s="2">
        <v>9174.9</v>
      </c>
      <c r="J426" s="2" t="str">
        <f t="shared" si="12"/>
        <v>Aug</v>
      </c>
      <c r="K426" s="4">
        <f t="shared" si="13"/>
        <v>2024</v>
      </c>
    </row>
    <row r="427" spans="1:11" x14ac:dyDescent="0.3">
      <c r="A427" s="4" t="s">
        <v>469</v>
      </c>
      <c r="B427" s="8">
        <v>45520</v>
      </c>
      <c r="C427" s="4" t="s">
        <v>59</v>
      </c>
      <c r="D427" s="4" t="s">
        <v>41</v>
      </c>
      <c r="E427" s="4" t="s">
        <v>35</v>
      </c>
      <c r="F427" s="4" t="s">
        <v>21</v>
      </c>
      <c r="G427" s="4">
        <v>6</v>
      </c>
      <c r="H427" s="2">
        <v>1499</v>
      </c>
      <c r="I427" s="2">
        <v>8994</v>
      </c>
      <c r="J427" s="2" t="str">
        <f t="shared" si="12"/>
        <v>Aug</v>
      </c>
      <c r="K427" s="4">
        <f t="shared" si="13"/>
        <v>2024</v>
      </c>
    </row>
    <row r="428" spans="1:11" x14ac:dyDescent="0.3">
      <c r="A428" s="4" t="s">
        <v>470</v>
      </c>
      <c r="B428" s="8">
        <v>45520</v>
      </c>
      <c r="C428" s="4" t="s">
        <v>70</v>
      </c>
      <c r="D428" s="4" t="s">
        <v>28</v>
      </c>
      <c r="E428" s="4" t="s">
        <v>24</v>
      </c>
      <c r="F428" s="4" t="s">
        <v>47</v>
      </c>
      <c r="G428" s="4">
        <v>1</v>
      </c>
      <c r="H428" s="2">
        <v>1079.0999999999999</v>
      </c>
      <c r="I428" s="2">
        <v>1079.0999999999999</v>
      </c>
      <c r="J428" s="2" t="str">
        <f t="shared" si="12"/>
        <v>Aug</v>
      </c>
      <c r="K428" s="4">
        <f t="shared" si="13"/>
        <v>2024</v>
      </c>
    </row>
    <row r="429" spans="1:11" x14ac:dyDescent="0.3">
      <c r="A429" s="4" t="s">
        <v>471</v>
      </c>
      <c r="B429" s="8">
        <v>45522</v>
      </c>
      <c r="C429" s="4" t="s">
        <v>20</v>
      </c>
      <c r="D429" s="4" t="s">
        <v>11</v>
      </c>
      <c r="E429" s="4" t="s">
        <v>24</v>
      </c>
      <c r="F429" s="4" t="s">
        <v>25</v>
      </c>
      <c r="G429" s="4">
        <v>7</v>
      </c>
      <c r="H429" s="2">
        <v>399</v>
      </c>
      <c r="I429" s="2">
        <v>2793</v>
      </c>
      <c r="J429" s="2" t="str">
        <f t="shared" si="12"/>
        <v>Aug</v>
      </c>
      <c r="K429" s="4">
        <f t="shared" si="13"/>
        <v>2024</v>
      </c>
    </row>
    <row r="430" spans="1:11" x14ac:dyDescent="0.3">
      <c r="A430" s="4" t="s">
        <v>472</v>
      </c>
      <c r="B430" s="8">
        <v>45522</v>
      </c>
      <c r="C430" s="4" t="s">
        <v>52</v>
      </c>
      <c r="D430" s="4" t="s">
        <v>31</v>
      </c>
      <c r="E430" s="4" t="s">
        <v>17</v>
      </c>
      <c r="F430" s="4" t="s">
        <v>18</v>
      </c>
      <c r="G430" s="4">
        <v>3</v>
      </c>
      <c r="H430" s="2">
        <v>3999</v>
      </c>
      <c r="I430" s="2">
        <v>11997</v>
      </c>
      <c r="J430" s="2" t="str">
        <f t="shared" si="12"/>
        <v>Aug</v>
      </c>
      <c r="K430" s="4">
        <f t="shared" si="13"/>
        <v>2024</v>
      </c>
    </row>
    <row r="431" spans="1:11" x14ac:dyDescent="0.3">
      <c r="A431" s="4" t="s">
        <v>473</v>
      </c>
      <c r="B431" s="8">
        <v>45523</v>
      </c>
      <c r="C431" s="4" t="s">
        <v>67</v>
      </c>
      <c r="D431" s="4" t="s">
        <v>11</v>
      </c>
      <c r="E431" s="4" t="s">
        <v>12</v>
      </c>
      <c r="F431" s="4" t="s">
        <v>18</v>
      </c>
      <c r="G431" s="4">
        <v>5</v>
      </c>
      <c r="H431" s="2">
        <v>349</v>
      </c>
      <c r="I431" s="2">
        <v>1745</v>
      </c>
      <c r="J431" s="2" t="str">
        <f t="shared" si="12"/>
        <v>Aug</v>
      </c>
      <c r="K431" s="4">
        <f t="shared" si="13"/>
        <v>2024</v>
      </c>
    </row>
    <row r="432" spans="1:11" x14ac:dyDescent="0.3">
      <c r="A432" s="4" t="s">
        <v>474</v>
      </c>
      <c r="B432" s="8">
        <v>45524</v>
      </c>
      <c r="C432" s="4" t="s">
        <v>15</v>
      </c>
      <c r="D432" s="4" t="s">
        <v>16</v>
      </c>
      <c r="E432" s="4" t="s">
        <v>24</v>
      </c>
      <c r="F432" s="4" t="s">
        <v>13</v>
      </c>
      <c r="G432" s="4">
        <v>1</v>
      </c>
      <c r="H432" s="2">
        <v>1999</v>
      </c>
      <c r="I432" s="2">
        <v>1999</v>
      </c>
      <c r="J432" s="2" t="str">
        <f t="shared" si="12"/>
        <v>Aug</v>
      </c>
      <c r="K432" s="4">
        <f t="shared" si="13"/>
        <v>2024</v>
      </c>
    </row>
    <row r="433" spans="1:11" x14ac:dyDescent="0.3">
      <c r="A433" s="4" t="s">
        <v>475</v>
      </c>
      <c r="B433" s="8">
        <v>45524</v>
      </c>
      <c r="C433" s="4" t="s">
        <v>52</v>
      </c>
      <c r="D433" s="4" t="s">
        <v>31</v>
      </c>
      <c r="E433" s="4" t="s">
        <v>17</v>
      </c>
      <c r="F433" s="4" t="s">
        <v>18</v>
      </c>
      <c r="G433" s="4">
        <v>1</v>
      </c>
      <c r="H433" s="2">
        <v>3999</v>
      </c>
      <c r="I433" s="2">
        <v>3999</v>
      </c>
      <c r="J433" s="2" t="str">
        <f t="shared" si="12"/>
        <v>Aug</v>
      </c>
      <c r="K433" s="4">
        <f t="shared" si="13"/>
        <v>2024</v>
      </c>
    </row>
    <row r="434" spans="1:11" x14ac:dyDescent="0.3">
      <c r="A434" s="4" t="s">
        <v>476</v>
      </c>
      <c r="B434" s="8">
        <v>45525</v>
      </c>
      <c r="C434" s="4" t="s">
        <v>67</v>
      </c>
      <c r="D434" s="4" t="s">
        <v>11</v>
      </c>
      <c r="E434" s="4" t="s">
        <v>24</v>
      </c>
      <c r="F434" s="4" t="s">
        <v>13</v>
      </c>
      <c r="G434" s="4">
        <v>5</v>
      </c>
      <c r="H434" s="2">
        <v>349</v>
      </c>
      <c r="I434" s="2">
        <v>1745</v>
      </c>
      <c r="J434" s="2" t="str">
        <f t="shared" si="12"/>
        <v>Aug</v>
      </c>
      <c r="K434" s="4">
        <f t="shared" si="13"/>
        <v>2024</v>
      </c>
    </row>
    <row r="435" spans="1:11" x14ac:dyDescent="0.3">
      <c r="A435" s="4" t="s">
        <v>477</v>
      </c>
      <c r="B435" s="8">
        <v>45525</v>
      </c>
      <c r="C435" s="4" t="s">
        <v>59</v>
      </c>
      <c r="D435" s="4" t="s">
        <v>41</v>
      </c>
      <c r="E435" s="4" t="s">
        <v>24</v>
      </c>
      <c r="F435" s="4" t="s">
        <v>13</v>
      </c>
      <c r="G435" s="4">
        <v>5</v>
      </c>
      <c r="H435" s="2">
        <v>1499</v>
      </c>
      <c r="I435" s="2">
        <v>7495</v>
      </c>
      <c r="J435" s="2" t="str">
        <f t="shared" si="12"/>
        <v>Aug</v>
      </c>
      <c r="K435" s="4">
        <f t="shared" si="13"/>
        <v>2024</v>
      </c>
    </row>
    <row r="436" spans="1:11" x14ac:dyDescent="0.3">
      <c r="A436" s="4" t="s">
        <v>478</v>
      </c>
      <c r="B436" s="8">
        <v>45526</v>
      </c>
      <c r="C436" s="4" t="s">
        <v>59</v>
      </c>
      <c r="D436" s="4" t="s">
        <v>41</v>
      </c>
      <c r="E436" s="4" t="s">
        <v>17</v>
      </c>
      <c r="F436" s="4" t="s">
        <v>13</v>
      </c>
      <c r="G436" s="4">
        <v>5</v>
      </c>
      <c r="H436" s="2">
        <v>1499</v>
      </c>
      <c r="I436" s="2">
        <v>7495</v>
      </c>
      <c r="J436" s="2" t="str">
        <f t="shared" si="12"/>
        <v>Aug</v>
      </c>
      <c r="K436" s="4">
        <f t="shared" si="13"/>
        <v>2024</v>
      </c>
    </row>
    <row r="437" spans="1:11" x14ac:dyDescent="0.3">
      <c r="A437" s="4" t="s">
        <v>479</v>
      </c>
      <c r="B437" s="8">
        <v>45527</v>
      </c>
      <c r="C437" s="4" t="s">
        <v>67</v>
      </c>
      <c r="D437" s="4" t="s">
        <v>11</v>
      </c>
      <c r="E437" s="4" t="s">
        <v>12</v>
      </c>
      <c r="F437" s="4" t="s">
        <v>32</v>
      </c>
      <c r="G437" s="4">
        <v>7</v>
      </c>
      <c r="H437" s="2">
        <v>349</v>
      </c>
      <c r="I437" s="2">
        <v>2443</v>
      </c>
      <c r="J437" s="2" t="str">
        <f t="shared" si="12"/>
        <v>Aug</v>
      </c>
      <c r="K437" s="4">
        <f t="shared" si="13"/>
        <v>2024</v>
      </c>
    </row>
    <row r="438" spans="1:11" x14ac:dyDescent="0.3">
      <c r="A438" s="4" t="s">
        <v>480</v>
      </c>
      <c r="B438" s="8">
        <v>45527</v>
      </c>
      <c r="C438" s="4" t="s">
        <v>10</v>
      </c>
      <c r="D438" s="4" t="s">
        <v>11</v>
      </c>
      <c r="E438" s="4" t="s">
        <v>12</v>
      </c>
      <c r="F438" s="4" t="s">
        <v>21</v>
      </c>
      <c r="G438" s="4">
        <v>1</v>
      </c>
      <c r="H438" s="2">
        <v>299</v>
      </c>
      <c r="I438" s="2">
        <v>299</v>
      </c>
      <c r="J438" s="2" t="str">
        <f t="shared" si="12"/>
        <v>Aug</v>
      </c>
      <c r="K438" s="4">
        <f t="shared" si="13"/>
        <v>2024</v>
      </c>
    </row>
    <row r="439" spans="1:11" x14ac:dyDescent="0.3">
      <c r="A439" s="4" t="s">
        <v>481</v>
      </c>
      <c r="B439" s="8">
        <v>45528</v>
      </c>
      <c r="C439" s="4" t="s">
        <v>72</v>
      </c>
      <c r="D439" s="4" t="s">
        <v>16</v>
      </c>
      <c r="E439" s="4" t="s">
        <v>12</v>
      </c>
      <c r="F439" s="4" t="s">
        <v>25</v>
      </c>
      <c r="G439" s="4">
        <v>2</v>
      </c>
      <c r="H439" s="2">
        <v>1529.15</v>
      </c>
      <c r="I439" s="2">
        <v>3058.3</v>
      </c>
      <c r="J439" s="2" t="str">
        <f t="shared" si="12"/>
        <v>Aug</v>
      </c>
      <c r="K439" s="4">
        <f t="shared" si="13"/>
        <v>2024</v>
      </c>
    </row>
    <row r="440" spans="1:11" x14ac:dyDescent="0.3">
      <c r="A440" s="4" t="s">
        <v>482</v>
      </c>
      <c r="B440" s="8">
        <v>45529</v>
      </c>
      <c r="C440" s="4" t="s">
        <v>20</v>
      </c>
      <c r="D440" s="4" t="s">
        <v>11</v>
      </c>
      <c r="E440" s="4" t="s">
        <v>24</v>
      </c>
      <c r="F440" s="4" t="s">
        <v>32</v>
      </c>
      <c r="G440" s="4">
        <v>5</v>
      </c>
      <c r="H440" s="2">
        <v>399</v>
      </c>
      <c r="I440" s="2">
        <v>1995</v>
      </c>
      <c r="J440" s="2" t="str">
        <f t="shared" si="12"/>
        <v>Aug</v>
      </c>
      <c r="K440" s="4">
        <f t="shared" si="13"/>
        <v>2024</v>
      </c>
    </row>
    <row r="441" spans="1:11" x14ac:dyDescent="0.3">
      <c r="A441" s="4" t="s">
        <v>483</v>
      </c>
      <c r="B441" s="8">
        <v>45530</v>
      </c>
      <c r="C441" s="4" t="s">
        <v>37</v>
      </c>
      <c r="D441" s="4" t="s">
        <v>16</v>
      </c>
      <c r="E441" s="4" t="s">
        <v>24</v>
      </c>
      <c r="F441" s="4" t="s">
        <v>18</v>
      </c>
      <c r="G441" s="4">
        <v>3</v>
      </c>
      <c r="H441" s="2">
        <v>899</v>
      </c>
      <c r="I441" s="2">
        <v>2697</v>
      </c>
      <c r="J441" s="2" t="str">
        <f t="shared" si="12"/>
        <v>Aug</v>
      </c>
      <c r="K441" s="4">
        <f t="shared" si="13"/>
        <v>2024</v>
      </c>
    </row>
    <row r="442" spans="1:11" x14ac:dyDescent="0.3">
      <c r="A442" s="4" t="s">
        <v>484</v>
      </c>
      <c r="B442" s="8">
        <v>45530</v>
      </c>
      <c r="C442" s="4" t="s">
        <v>86</v>
      </c>
      <c r="D442" s="4" t="s">
        <v>28</v>
      </c>
      <c r="E442" s="4" t="s">
        <v>12</v>
      </c>
      <c r="F442" s="4" t="s">
        <v>18</v>
      </c>
      <c r="G442" s="4">
        <v>2</v>
      </c>
      <c r="H442" s="2">
        <v>899</v>
      </c>
      <c r="I442" s="2">
        <v>1798</v>
      </c>
      <c r="J442" s="2" t="str">
        <f t="shared" si="12"/>
        <v>Aug</v>
      </c>
      <c r="K442" s="4">
        <f t="shared" si="13"/>
        <v>2024</v>
      </c>
    </row>
    <row r="443" spans="1:11" x14ac:dyDescent="0.3">
      <c r="A443" s="4" t="s">
        <v>485</v>
      </c>
      <c r="B443" s="8">
        <v>45530</v>
      </c>
      <c r="C443" s="4" t="s">
        <v>52</v>
      </c>
      <c r="D443" s="4" t="s">
        <v>31</v>
      </c>
      <c r="E443" s="4" t="s">
        <v>17</v>
      </c>
      <c r="F443" s="4" t="s">
        <v>47</v>
      </c>
      <c r="G443" s="4">
        <v>2</v>
      </c>
      <c r="H443" s="2">
        <v>3799.05</v>
      </c>
      <c r="I443" s="2">
        <v>7598.1</v>
      </c>
      <c r="J443" s="2" t="str">
        <f t="shared" si="12"/>
        <v>Aug</v>
      </c>
      <c r="K443" s="4">
        <f t="shared" si="13"/>
        <v>2024</v>
      </c>
    </row>
    <row r="444" spans="1:11" x14ac:dyDescent="0.3">
      <c r="A444" s="4" t="s">
        <v>486</v>
      </c>
      <c r="B444" s="8">
        <v>45530</v>
      </c>
      <c r="C444" s="4" t="s">
        <v>30</v>
      </c>
      <c r="D444" s="4" t="s">
        <v>31</v>
      </c>
      <c r="E444" s="4" t="s">
        <v>17</v>
      </c>
      <c r="F444" s="4" t="s">
        <v>32</v>
      </c>
      <c r="G444" s="4">
        <v>5</v>
      </c>
      <c r="H444" s="2">
        <v>4499</v>
      </c>
      <c r="I444" s="2">
        <v>22495</v>
      </c>
      <c r="J444" s="2" t="str">
        <f t="shared" si="12"/>
        <v>Aug</v>
      </c>
      <c r="K444" s="4">
        <f t="shared" si="13"/>
        <v>2024</v>
      </c>
    </row>
    <row r="445" spans="1:11" x14ac:dyDescent="0.3">
      <c r="A445" s="4" t="s">
        <v>487</v>
      </c>
      <c r="B445" s="8">
        <v>45531</v>
      </c>
      <c r="C445" s="4" t="s">
        <v>86</v>
      </c>
      <c r="D445" s="4" t="s">
        <v>28</v>
      </c>
      <c r="E445" s="4" t="s">
        <v>17</v>
      </c>
      <c r="F445" s="4" t="s">
        <v>25</v>
      </c>
      <c r="G445" s="4">
        <v>2</v>
      </c>
      <c r="H445" s="2">
        <v>899</v>
      </c>
      <c r="I445" s="2">
        <v>1798</v>
      </c>
      <c r="J445" s="2" t="str">
        <f t="shared" si="12"/>
        <v>Aug</v>
      </c>
      <c r="K445" s="4">
        <f t="shared" si="13"/>
        <v>2024</v>
      </c>
    </row>
    <row r="446" spans="1:11" x14ac:dyDescent="0.3">
      <c r="A446" s="4" t="s">
        <v>488</v>
      </c>
      <c r="B446" s="8">
        <v>45531</v>
      </c>
      <c r="C446" s="4" t="s">
        <v>15</v>
      </c>
      <c r="D446" s="4" t="s">
        <v>16</v>
      </c>
      <c r="E446" s="4" t="s">
        <v>17</v>
      </c>
      <c r="F446" s="4" t="s">
        <v>13</v>
      </c>
      <c r="G446" s="4">
        <v>3</v>
      </c>
      <c r="H446" s="2">
        <v>1999</v>
      </c>
      <c r="I446" s="2">
        <v>5997</v>
      </c>
      <c r="J446" s="2" t="str">
        <f t="shared" si="12"/>
        <v>Aug</v>
      </c>
      <c r="K446" s="4">
        <f t="shared" si="13"/>
        <v>2024</v>
      </c>
    </row>
    <row r="447" spans="1:11" x14ac:dyDescent="0.3">
      <c r="A447" s="4" t="s">
        <v>489</v>
      </c>
      <c r="B447" s="8">
        <v>45533</v>
      </c>
      <c r="C447" s="4" t="s">
        <v>37</v>
      </c>
      <c r="D447" s="4" t="s">
        <v>16</v>
      </c>
      <c r="E447" s="4" t="s">
        <v>24</v>
      </c>
      <c r="F447" s="4" t="s">
        <v>13</v>
      </c>
      <c r="G447" s="4">
        <v>4</v>
      </c>
      <c r="H447" s="2">
        <v>899</v>
      </c>
      <c r="I447" s="2">
        <v>3596</v>
      </c>
      <c r="J447" s="2" t="str">
        <f t="shared" si="12"/>
        <v>Aug</v>
      </c>
      <c r="K447" s="4">
        <f t="shared" si="13"/>
        <v>2024</v>
      </c>
    </row>
    <row r="448" spans="1:11" x14ac:dyDescent="0.3">
      <c r="A448" s="4" t="s">
        <v>490</v>
      </c>
      <c r="B448" s="8">
        <v>45533</v>
      </c>
      <c r="C448" s="4" t="s">
        <v>23</v>
      </c>
      <c r="D448" s="4" t="s">
        <v>16</v>
      </c>
      <c r="E448" s="4" t="s">
        <v>12</v>
      </c>
      <c r="F448" s="4" t="s">
        <v>18</v>
      </c>
      <c r="G448" s="4">
        <v>1</v>
      </c>
      <c r="H448" s="2">
        <v>2499</v>
      </c>
      <c r="I448" s="2">
        <v>2499</v>
      </c>
      <c r="J448" s="2" t="str">
        <f t="shared" si="12"/>
        <v>Aug</v>
      </c>
      <c r="K448" s="4">
        <f t="shared" si="13"/>
        <v>2024</v>
      </c>
    </row>
    <row r="449" spans="1:11" x14ac:dyDescent="0.3">
      <c r="A449" s="4" t="s">
        <v>491</v>
      </c>
      <c r="B449" s="8">
        <v>45534</v>
      </c>
      <c r="C449" s="4" t="s">
        <v>34</v>
      </c>
      <c r="D449" s="4" t="s">
        <v>28</v>
      </c>
      <c r="E449" s="4" t="s">
        <v>24</v>
      </c>
      <c r="F449" s="4" t="s">
        <v>32</v>
      </c>
      <c r="G449" s="4">
        <v>4</v>
      </c>
      <c r="H449" s="2">
        <v>759.05</v>
      </c>
      <c r="I449" s="2">
        <v>3036.2</v>
      </c>
      <c r="J449" s="2" t="str">
        <f t="shared" si="12"/>
        <v>Aug</v>
      </c>
      <c r="K449" s="4">
        <f t="shared" si="13"/>
        <v>2024</v>
      </c>
    </row>
    <row r="450" spans="1:11" x14ac:dyDescent="0.3">
      <c r="A450" s="4" t="s">
        <v>492</v>
      </c>
      <c r="B450" s="8">
        <v>45535</v>
      </c>
      <c r="C450" s="4" t="s">
        <v>15</v>
      </c>
      <c r="D450" s="4" t="s">
        <v>16</v>
      </c>
      <c r="E450" s="4" t="s">
        <v>17</v>
      </c>
      <c r="F450" s="4" t="s">
        <v>32</v>
      </c>
      <c r="G450" s="4">
        <v>1</v>
      </c>
      <c r="H450" s="2">
        <v>1799.1</v>
      </c>
      <c r="I450" s="2">
        <v>1799.1</v>
      </c>
      <c r="J450" s="2" t="str">
        <f t="shared" ref="J450:J513" si="14">TEXT(B450,"mmm")</f>
        <v>Aug</v>
      </c>
      <c r="K450" s="4">
        <f t="shared" ref="K450:K513" si="15">YEAR(B450)</f>
        <v>2024</v>
      </c>
    </row>
    <row r="451" spans="1:11" x14ac:dyDescent="0.3">
      <c r="A451" s="4" t="s">
        <v>493</v>
      </c>
      <c r="B451" s="8">
        <v>45537</v>
      </c>
      <c r="C451" s="4" t="s">
        <v>23</v>
      </c>
      <c r="D451" s="4" t="s">
        <v>16</v>
      </c>
      <c r="E451" s="4" t="s">
        <v>12</v>
      </c>
      <c r="F451" s="4" t="s">
        <v>21</v>
      </c>
      <c r="G451" s="4">
        <v>3</v>
      </c>
      <c r="H451" s="2">
        <v>2249.1</v>
      </c>
      <c r="I451" s="2">
        <v>6747.3</v>
      </c>
      <c r="J451" s="2" t="str">
        <f t="shared" si="14"/>
        <v>Sep</v>
      </c>
      <c r="K451" s="4">
        <f t="shared" si="15"/>
        <v>2024</v>
      </c>
    </row>
    <row r="452" spans="1:11" x14ac:dyDescent="0.3">
      <c r="A452" s="4" t="s">
        <v>494</v>
      </c>
      <c r="B452" s="8">
        <v>45537</v>
      </c>
      <c r="C452" s="4" t="s">
        <v>67</v>
      </c>
      <c r="D452" s="4" t="s">
        <v>11</v>
      </c>
      <c r="E452" s="4" t="s">
        <v>17</v>
      </c>
      <c r="F452" s="4" t="s">
        <v>25</v>
      </c>
      <c r="G452" s="4">
        <v>3</v>
      </c>
      <c r="H452" s="2">
        <v>296.64999999999998</v>
      </c>
      <c r="I452" s="2">
        <v>889.95</v>
      </c>
      <c r="J452" s="2" t="str">
        <f t="shared" si="14"/>
        <v>Sep</v>
      </c>
      <c r="K452" s="4">
        <f t="shared" si="15"/>
        <v>2024</v>
      </c>
    </row>
    <row r="453" spans="1:11" x14ac:dyDescent="0.3">
      <c r="A453" s="4" t="s">
        <v>495</v>
      </c>
      <c r="B453" s="8">
        <v>45537</v>
      </c>
      <c r="C453" s="4" t="s">
        <v>34</v>
      </c>
      <c r="D453" s="4" t="s">
        <v>28</v>
      </c>
      <c r="E453" s="4" t="s">
        <v>12</v>
      </c>
      <c r="F453" s="4" t="s">
        <v>21</v>
      </c>
      <c r="G453" s="4">
        <v>1</v>
      </c>
      <c r="H453" s="2">
        <v>719.1</v>
      </c>
      <c r="I453" s="2">
        <v>719.1</v>
      </c>
      <c r="J453" s="2" t="str">
        <f t="shared" si="14"/>
        <v>Sep</v>
      </c>
      <c r="K453" s="4">
        <f t="shared" si="15"/>
        <v>2024</v>
      </c>
    </row>
    <row r="454" spans="1:11" x14ac:dyDescent="0.3">
      <c r="A454" s="4" t="s">
        <v>496</v>
      </c>
      <c r="B454" s="8">
        <v>45538</v>
      </c>
      <c r="C454" s="4" t="s">
        <v>30</v>
      </c>
      <c r="D454" s="4" t="s">
        <v>31</v>
      </c>
      <c r="E454" s="4" t="s">
        <v>17</v>
      </c>
      <c r="F454" s="4" t="s">
        <v>32</v>
      </c>
      <c r="G454" s="4">
        <v>7</v>
      </c>
      <c r="H454" s="2">
        <v>4499</v>
      </c>
      <c r="I454" s="2">
        <v>31493</v>
      </c>
      <c r="J454" s="2" t="str">
        <f t="shared" si="14"/>
        <v>Sep</v>
      </c>
      <c r="K454" s="4">
        <f t="shared" si="15"/>
        <v>2024</v>
      </c>
    </row>
    <row r="455" spans="1:11" x14ac:dyDescent="0.3">
      <c r="A455" s="4" t="s">
        <v>497</v>
      </c>
      <c r="B455" s="8">
        <v>45538</v>
      </c>
      <c r="C455" s="4" t="s">
        <v>45</v>
      </c>
      <c r="D455" s="4" t="s">
        <v>16</v>
      </c>
      <c r="E455" s="4" t="s">
        <v>12</v>
      </c>
      <c r="F455" s="4" t="s">
        <v>32</v>
      </c>
      <c r="G455" s="4">
        <v>3</v>
      </c>
      <c r="H455" s="2">
        <v>5499</v>
      </c>
      <c r="I455" s="2">
        <v>16497</v>
      </c>
      <c r="J455" s="2" t="str">
        <f t="shared" si="14"/>
        <v>Sep</v>
      </c>
      <c r="K455" s="4">
        <f t="shared" si="15"/>
        <v>2024</v>
      </c>
    </row>
    <row r="456" spans="1:11" x14ac:dyDescent="0.3">
      <c r="A456" s="4" t="s">
        <v>498</v>
      </c>
      <c r="B456" s="8">
        <v>45538</v>
      </c>
      <c r="C456" s="4" t="s">
        <v>15</v>
      </c>
      <c r="D456" s="4" t="s">
        <v>16</v>
      </c>
      <c r="E456" s="4" t="s">
        <v>24</v>
      </c>
      <c r="F456" s="4" t="s">
        <v>32</v>
      </c>
      <c r="G456" s="4">
        <v>4</v>
      </c>
      <c r="H456" s="2">
        <v>1999</v>
      </c>
      <c r="I456" s="2">
        <v>7996</v>
      </c>
      <c r="J456" s="2" t="str">
        <f t="shared" si="14"/>
        <v>Sep</v>
      </c>
      <c r="K456" s="4">
        <f t="shared" si="15"/>
        <v>2024</v>
      </c>
    </row>
    <row r="457" spans="1:11" x14ac:dyDescent="0.3">
      <c r="A457" s="4" t="s">
        <v>499</v>
      </c>
      <c r="B457" s="8">
        <v>45539</v>
      </c>
      <c r="C457" s="4" t="s">
        <v>34</v>
      </c>
      <c r="D457" s="4" t="s">
        <v>28</v>
      </c>
      <c r="E457" s="4" t="s">
        <v>12</v>
      </c>
      <c r="F457" s="4" t="s">
        <v>18</v>
      </c>
      <c r="G457" s="4">
        <v>2</v>
      </c>
      <c r="H457" s="2">
        <v>799</v>
      </c>
      <c r="I457" s="2">
        <v>1598</v>
      </c>
      <c r="J457" s="2" t="str">
        <f t="shared" si="14"/>
        <v>Sep</v>
      </c>
      <c r="K457" s="4">
        <f t="shared" si="15"/>
        <v>2024</v>
      </c>
    </row>
    <row r="458" spans="1:11" x14ac:dyDescent="0.3">
      <c r="A458" s="4" t="s">
        <v>500</v>
      </c>
      <c r="B458" s="8">
        <v>45542</v>
      </c>
      <c r="C458" s="4" t="s">
        <v>70</v>
      </c>
      <c r="D458" s="4" t="s">
        <v>28</v>
      </c>
      <c r="E458" s="4" t="s">
        <v>17</v>
      </c>
      <c r="F458" s="4" t="s">
        <v>25</v>
      </c>
      <c r="G458" s="4">
        <v>6</v>
      </c>
      <c r="H458" s="2">
        <v>1199</v>
      </c>
      <c r="I458" s="2">
        <v>7194</v>
      </c>
      <c r="J458" s="2" t="str">
        <f t="shared" si="14"/>
        <v>Sep</v>
      </c>
      <c r="K458" s="4">
        <f t="shared" si="15"/>
        <v>2024</v>
      </c>
    </row>
    <row r="459" spans="1:11" x14ac:dyDescent="0.3">
      <c r="A459" s="4" t="s">
        <v>501</v>
      </c>
      <c r="B459" s="8">
        <v>45543</v>
      </c>
      <c r="C459" s="4" t="s">
        <v>64</v>
      </c>
      <c r="D459" s="4" t="s">
        <v>41</v>
      </c>
      <c r="E459" s="4" t="s">
        <v>17</v>
      </c>
      <c r="F459" s="4" t="s">
        <v>13</v>
      </c>
      <c r="G459" s="4">
        <v>1</v>
      </c>
      <c r="H459" s="2">
        <v>1799</v>
      </c>
      <c r="I459" s="2">
        <v>1799</v>
      </c>
      <c r="J459" s="2" t="str">
        <f t="shared" si="14"/>
        <v>Sep</v>
      </c>
      <c r="K459" s="4">
        <f t="shared" si="15"/>
        <v>2024</v>
      </c>
    </row>
    <row r="460" spans="1:11" x14ac:dyDescent="0.3">
      <c r="A460" s="4" t="s">
        <v>502</v>
      </c>
      <c r="B460" s="8">
        <v>45544</v>
      </c>
      <c r="C460" s="4" t="s">
        <v>15</v>
      </c>
      <c r="D460" s="4" t="s">
        <v>16</v>
      </c>
      <c r="E460" s="4" t="s">
        <v>12</v>
      </c>
      <c r="F460" s="4" t="s">
        <v>32</v>
      </c>
      <c r="G460" s="4">
        <v>3</v>
      </c>
      <c r="H460" s="2">
        <v>1999</v>
      </c>
      <c r="I460" s="2">
        <v>5997</v>
      </c>
      <c r="J460" s="2" t="str">
        <f t="shared" si="14"/>
        <v>Sep</v>
      </c>
      <c r="K460" s="4">
        <f t="shared" si="15"/>
        <v>2024</v>
      </c>
    </row>
    <row r="461" spans="1:11" x14ac:dyDescent="0.3">
      <c r="A461" s="4" t="s">
        <v>503</v>
      </c>
      <c r="B461" s="8">
        <v>45544</v>
      </c>
      <c r="C461" s="4" t="s">
        <v>67</v>
      </c>
      <c r="D461" s="4" t="s">
        <v>11</v>
      </c>
      <c r="E461" s="4" t="s">
        <v>35</v>
      </c>
      <c r="F461" s="4" t="s">
        <v>18</v>
      </c>
      <c r="G461" s="4">
        <v>1</v>
      </c>
      <c r="H461" s="2">
        <v>331.55</v>
      </c>
      <c r="I461" s="2">
        <v>331.55</v>
      </c>
      <c r="J461" s="2" t="str">
        <f t="shared" si="14"/>
        <v>Sep</v>
      </c>
      <c r="K461" s="4">
        <f t="shared" si="15"/>
        <v>2024</v>
      </c>
    </row>
    <row r="462" spans="1:11" x14ac:dyDescent="0.3">
      <c r="A462" s="4" t="s">
        <v>504</v>
      </c>
      <c r="B462" s="8">
        <v>45546</v>
      </c>
      <c r="C462" s="4" t="s">
        <v>107</v>
      </c>
      <c r="D462" s="4" t="s">
        <v>31</v>
      </c>
      <c r="E462" s="4" t="s">
        <v>12</v>
      </c>
      <c r="F462" s="4" t="s">
        <v>25</v>
      </c>
      <c r="G462" s="4">
        <v>2</v>
      </c>
      <c r="H462" s="2">
        <v>3299</v>
      </c>
      <c r="I462" s="2">
        <v>6598</v>
      </c>
      <c r="J462" s="2" t="str">
        <f t="shared" si="14"/>
        <v>Sep</v>
      </c>
      <c r="K462" s="4">
        <f t="shared" si="15"/>
        <v>2024</v>
      </c>
    </row>
    <row r="463" spans="1:11" x14ac:dyDescent="0.3">
      <c r="A463" s="4" t="s">
        <v>505</v>
      </c>
      <c r="B463" s="8">
        <v>45547</v>
      </c>
      <c r="C463" s="4" t="s">
        <v>59</v>
      </c>
      <c r="D463" s="4" t="s">
        <v>41</v>
      </c>
      <c r="E463" s="4" t="s">
        <v>12</v>
      </c>
      <c r="F463" s="4" t="s">
        <v>32</v>
      </c>
      <c r="G463" s="4">
        <v>6</v>
      </c>
      <c r="H463" s="2">
        <v>1274.1500000000001</v>
      </c>
      <c r="I463" s="2">
        <v>7644.9</v>
      </c>
      <c r="J463" s="2" t="str">
        <f t="shared" si="14"/>
        <v>Sep</v>
      </c>
      <c r="K463" s="4">
        <f t="shared" si="15"/>
        <v>2024</v>
      </c>
    </row>
    <row r="464" spans="1:11" x14ac:dyDescent="0.3">
      <c r="A464" s="4" t="s">
        <v>506</v>
      </c>
      <c r="B464" s="8">
        <v>45547</v>
      </c>
      <c r="C464" s="4" t="s">
        <v>40</v>
      </c>
      <c r="D464" s="4" t="s">
        <v>41</v>
      </c>
      <c r="E464" s="4" t="s">
        <v>24</v>
      </c>
      <c r="F464" s="4" t="s">
        <v>25</v>
      </c>
      <c r="G464" s="4">
        <v>5</v>
      </c>
      <c r="H464" s="2">
        <v>2199</v>
      </c>
      <c r="I464" s="2">
        <v>10995</v>
      </c>
      <c r="J464" s="2" t="str">
        <f t="shared" si="14"/>
        <v>Sep</v>
      </c>
      <c r="K464" s="4">
        <f t="shared" si="15"/>
        <v>2024</v>
      </c>
    </row>
    <row r="465" spans="1:11" x14ac:dyDescent="0.3">
      <c r="A465" s="4" t="s">
        <v>507</v>
      </c>
      <c r="B465" s="8">
        <v>45547</v>
      </c>
      <c r="C465" s="4" t="s">
        <v>45</v>
      </c>
      <c r="D465" s="4" t="s">
        <v>16</v>
      </c>
      <c r="E465" s="4" t="s">
        <v>17</v>
      </c>
      <c r="F465" s="4" t="s">
        <v>25</v>
      </c>
      <c r="G465" s="4">
        <v>2</v>
      </c>
      <c r="H465" s="2">
        <v>5499</v>
      </c>
      <c r="I465" s="2">
        <v>10998</v>
      </c>
      <c r="J465" s="2" t="str">
        <f t="shared" si="14"/>
        <v>Sep</v>
      </c>
      <c r="K465" s="4">
        <f t="shared" si="15"/>
        <v>2024</v>
      </c>
    </row>
    <row r="466" spans="1:11" x14ac:dyDescent="0.3">
      <c r="A466" s="4" t="s">
        <v>508</v>
      </c>
      <c r="B466" s="8">
        <v>45549</v>
      </c>
      <c r="C466" s="4" t="s">
        <v>34</v>
      </c>
      <c r="D466" s="4" t="s">
        <v>28</v>
      </c>
      <c r="E466" s="4" t="s">
        <v>17</v>
      </c>
      <c r="F466" s="4" t="s">
        <v>13</v>
      </c>
      <c r="G466" s="4">
        <v>4</v>
      </c>
      <c r="H466" s="2">
        <v>799</v>
      </c>
      <c r="I466" s="2">
        <v>3196</v>
      </c>
      <c r="J466" s="2" t="str">
        <f t="shared" si="14"/>
        <v>Sep</v>
      </c>
      <c r="K466" s="4">
        <f t="shared" si="15"/>
        <v>2024</v>
      </c>
    </row>
    <row r="467" spans="1:11" x14ac:dyDescent="0.3">
      <c r="A467" s="4" t="s">
        <v>509</v>
      </c>
      <c r="B467" s="8">
        <v>45549</v>
      </c>
      <c r="C467" s="4" t="s">
        <v>45</v>
      </c>
      <c r="D467" s="4" t="s">
        <v>16</v>
      </c>
      <c r="E467" s="4" t="s">
        <v>17</v>
      </c>
      <c r="F467" s="4" t="s">
        <v>47</v>
      </c>
      <c r="G467" s="4">
        <v>1</v>
      </c>
      <c r="H467" s="2">
        <v>4949.1000000000004</v>
      </c>
      <c r="I467" s="2">
        <v>4949.1000000000004</v>
      </c>
      <c r="J467" s="2" t="str">
        <f t="shared" si="14"/>
        <v>Sep</v>
      </c>
      <c r="K467" s="4">
        <f t="shared" si="15"/>
        <v>2024</v>
      </c>
    </row>
    <row r="468" spans="1:11" x14ac:dyDescent="0.3">
      <c r="A468" s="4" t="s">
        <v>510</v>
      </c>
      <c r="B468" s="8">
        <v>45550</v>
      </c>
      <c r="C468" s="4" t="s">
        <v>107</v>
      </c>
      <c r="D468" s="4" t="s">
        <v>31</v>
      </c>
      <c r="E468" s="4" t="s">
        <v>24</v>
      </c>
      <c r="F468" s="4" t="s">
        <v>25</v>
      </c>
      <c r="G468" s="4">
        <v>1</v>
      </c>
      <c r="H468" s="2">
        <v>2804.15</v>
      </c>
      <c r="I468" s="2">
        <v>2804.15</v>
      </c>
      <c r="J468" s="2" t="str">
        <f t="shared" si="14"/>
        <v>Sep</v>
      </c>
      <c r="K468" s="4">
        <f t="shared" si="15"/>
        <v>2024</v>
      </c>
    </row>
    <row r="469" spans="1:11" x14ac:dyDescent="0.3">
      <c r="A469" s="4" t="s">
        <v>511</v>
      </c>
      <c r="B469" s="8">
        <v>45550</v>
      </c>
      <c r="C469" s="4" t="s">
        <v>64</v>
      </c>
      <c r="D469" s="4" t="s">
        <v>41</v>
      </c>
      <c r="E469" s="4" t="s">
        <v>35</v>
      </c>
      <c r="F469" s="4" t="s">
        <v>21</v>
      </c>
      <c r="G469" s="4">
        <v>6</v>
      </c>
      <c r="H469" s="2">
        <v>1799</v>
      </c>
      <c r="I469" s="2">
        <v>10794</v>
      </c>
      <c r="J469" s="2" t="str">
        <f t="shared" si="14"/>
        <v>Sep</v>
      </c>
      <c r="K469" s="4">
        <f t="shared" si="15"/>
        <v>2024</v>
      </c>
    </row>
    <row r="470" spans="1:11" x14ac:dyDescent="0.3">
      <c r="A470" s="4" t="s">
        <v>512</v>
      </c>
      <c r="B470" s="8">
        <v>45551</v>
      </c>
      <c r="C470" s="4" t="s">
        <v>10</v>
      </c>
      <c r="D470" s="4" t="s">
        <v>11</v>
      </c>
      <c r="E470" s="4" t="s">
        <v>35</v>
      </c>
      <c r="F470" s="4" t="s">
        <v>13</v>
      </c>
      <c r="G470" s="4">
        <v>7</v>
      </c>
      <c r="H470" s="2">
        <v>284.05</v>
      </c>
      <c r="I470" s="2">
        <v>1988.35</v>
      </c>
      <c r="J470" s="2" t="str">
        <f t="shared" si="14"/>
        <v>Sep</v>
      </c>
      <c r="K470" s="4">
        <f t="shared" si="15"/>
        <v>2024</v>
      </c>
    </row>
    <row r="471" spans="1:11" x14ac:dyDescent="0.3">
      <c r="A471" s="4" t="s">
        <v>513</v>
      </c>
      <c r="B471" s="8">
        <v>45552</v>
      </c>
      <c r="C471" s="4" t="s">
        <v>50</v>
      </c>
      <c r="D471" s="4" t="s">
        <v>41</v>
      </c>
      <c r="E471" s="4" t="s">
        <v>17</v>
      </c>
      <c r="F471" s="4" t="s">
        <v>32</v>
      </c>
      <c r="G471" s="4">
        <v>1</v>
      </c>
      <c r="H471" s="2">
        <v>999</v>
      </c>
      <c r="I471" s="2">
        <v>999</v>
      </c>
      <c r="J471" s="2" t="str">
        <f t="shared" si="14"/>
        <v>Sep</v>
      </c>
      <c r="K471" s="4">
        <f t="shared" si="15"/>
        <v>2024</v>
      </c>
    </row>
    <row r="472" spans="1:11" x14ac:dyDescent="0.3">
      <c r="A472" s="4" t="s">
        <v>514</v>
      </c>
      <c r="B472" s="8">
        <v>45553</v>
      </c>
      <c r="C472" s="4" t="s">
        <v>37</v>
      </c>
      <c r="D472" s="4" t="s">
        <v>16</v>
      </c>
      <c r="E472" s="4" t="s">
        <v>24</v>
      </c>
      <c r="F472" s="4" t="s">
        <v>18</v>
      </c>
      <c r="G472" s="4">
        <v>1</v>
      </c>
      <c r="H472" s="2">
        <v>764.15</v>
      </c>
      <c r="I472" s="2">
        <v>764.15</v>
      </c>
      <c r="J472" s="2" t="str">
        <f t="shared" si="14"/>
        <v>Sep</v>
      </c>
      <c r="K472" s="4">
        <f t="shared" si="15"/>
        <v>2024</v>
      </c>
    </row>
    <row r="473" spans="1:11" x14ac:dyDescent="0.3">
      <c r="A473" s="4" t="s">
        <v>515</v>
      </c>
      <c r="B473" s="8">
        <v>45553</v>
      </c>
      <c r="C473" s="4" t="s">
        <v>52</v>
      </c>
      <c r="D473" s="4" t="s">
        <v>31</v>
      </c>
      <c r="E473" s="4" t="s">
        <v>24</v>
      </c>
      <c r="F473" s="4" t="s">
        <v>18</v>
      </c>
      <c r="G473" s="4">
        <v>2</v>
      </c>
      <c r="H473" s="2">
        <v>3599.1</v>
      </c>
      <c r="I473" s="2">
        <v>7198.2</v>
      </c>
      <c r="J473" s="2" t="str">
        <f t="shared" si="14"/>
        <v>Sep</v>
      </c>
      <c r="K473" s="4">
        <f t="shared" si="15"/>
        <v>2024</v>
      </c>
    </row>
    <row r="474" spans="1:11" x14ac:dyDescent="0.3">
      <c r="A474" s="4" t="s">
        <v>516</v>
      </c>
      <c r="B474" s="8">
        <v>45554</v>
      </c>
      <c r="C474" s="4" t="s">
        <v>59</v>
      </c>
      <c r="D474" s="4" t="s">
        <v>41</v>
      </c>
      <c r="E474" s="4" t="s">
        <v>24</v>
      </c>
      <c r="F474" s="4" t="s">
        <v>32</v>
      </c>
      <c r="G474" s="4">
        <v>8</v>
      </c>
      <c r="H474" s="2">
        <v>1499</v>
      </c>
      <c r="I474" s="2">
        <v>11992</v>
      </c>
      <c r="J474" s="2" t="str">
        <f t="shared" si="14"/>
        <v>Sep</v>
      </c>
      <c r="K474" s="4">
        <f t="shared" si="15"/>
        <v>2024</v>
      </c>
    </row>
    <row r="475" spans="1:11" x14ac:dyDescent="0.3">
      <c r="A475" s="4" t="s">
        <v>517</v>
      </c>
      <c r="B475" s="8">
        <v>45555</v>
      </c>
      <c r="C475" s="4" t="s">
        <v>23</v>
      </c>
      <c r="D475" s="4" t="s">
        <v>16</v>
      </c>
      <c r="E475" s="4" t="s">
        <v>35</v>
      </c>
      <c r="F475" s="4" t="s">
        <v>32</v>
      </c>
      <c r="G475" s="4">
        <v>5</v>
      </c>
      <c r="H475" s="2">
        <v>2249.1</v>
      </c>
      <c r="I475" s="2">
        <v>11245.5</v>
      </c>
      <c r="J475" s="2" t="str">
        <f t="shared" si="14"/>
        <v>Sep</v>
      </c>
      <c r="K475" s="4">
        <f t="shared" si="15"/>
        <v>2024</v>
      </c>
    </row>
    <row r="476" spans="1:11" x14ac:dyDescent="0.3">
      <c r="A476" s="4" t="s">
        <v>518</v>
      </c>
      <c r="B476" s="8">
        <v>45555</v>
      </c>
      <c r="C476" s="4" t="s">
        <v>59</v>
      </c>
      <c r="D476" s="4" t="s">
        <v>41</v>
      </c>
      <c r="E476" s="4" t="s">
        <v>17</v>
      </c>
      <c r="F476" s="4" t="s">
        <v>25</v>
      </c>
      <c r="G476" s="4">
        <v>4</v>
      </c>
      <c r="H476" s="2">
        <v>1499</v>
      </c>
      <c r="I476" s="2">
        <v>5996</v>
      </c>
      <c r="J476" s="2" t="str">
        <f t="shared" si="14"/>
        <v>Sep</v>
      </c>
      <c r="K476" s="4">
        <f t="shared" si="15"/>
        <v>2024</v>
      </c>
    </row>
    <row r="477" spans="1:11" x14ac:dyDescent="0.3">
      <c r="A477" s="4" t="s">
        <v>519</v>
      </c>
      <c r="B477" s="8">
        <v>45555</v>
      </c>
      <c r="C477" s="4" t="s">
        <v>70</v>
      </c>
      <c r="D477" s="4" t="s">
        <v>28</v>
      </c>
      <c r="E477" s="4" t="s">
        <v>24</v>
      </c>
      <c r="F477" s="4" t="s">
        <v>18</v>
      </c>
      <c r="G477" s="4">
        <v>3</v>
      </c>
      <c r="H477" s="2">
        <v>1139.05</v>
      </c>
      <c r="I477" s="2">
        <v>3417.15</v>
      </c>
      <c r="J477" s="2" t="str">
        <f t="shared" si="14"/>
        <v>Sep</v>
      </c>
      <c r="K477" s="4">
        <f t="shared" si="15"/>
        <v>2024</v>
      </c>
    </row>
    <row r="478" spans="1:11" x14ac:dyDescent="0.3">
      <c r="A478" s="4" t="s">
        <v>520</v>
      </c>
      <c r="B478" s="8">
        <v>45555</v>
      </c>
      <c r="C478" s="4" t="s">
        <v>20</v>
      </c>
      <c r="D478" s="4" t="s">
        <v>11</v>
      </c>
      <c r="E478" s="4" t="s">
        <v>12</v>
      </c>
      <c r="F478" s="4" t="s">
        <v>21</v>
      </c>
      <c r="G478" s="4">
        <v>1</v>
      </c>
      <c r="H478" s="2">
        <v>399</v>
      </c>
      <c r="I478" s="2">
        <v>399</v>
      </c>
      <c r="J478" s="2" t="str">
        <f t="shared" si="14"/>
        <v>Sep</v>
      </c>
      <c r="K478" s="4">
        <f t="shared" si="15"/>
        <v>2024</v>
      </c>
    </row>
    <row r="479" spans="1:11" x14ac:dyDescent="0.3">
      <c r="A479" s="4" t="s">
        <v>521</v>
      </c>
      <c r="B479" s="8">
        <v>45557</v>
      </c>
      <c r="C479" s="4" t="s">
        <v>27</v>
      </c>
      <c r="D479" s="4" t="s">
        <v>28</v>
      </c>
      <c r="E479" s="4" t="s">
        <v>35</v>
      </c>
      <c r="F479" s="4" t="s">
        <v>21</v>
      </c>
      <c r="G479" s="4">
        <v>1</v>
      </c>
      <c r="H479" s="2">
        <v>3149.1</v>
      </c>
      <c r="I479" s="2">
        <v>3149.1</v>
      </c>
      <c r="J479" s="2" t="str">
        <f t="shared" si="14"/>
        <v>Sep</v>
      </c>
      <c r="K479" s="4">
        <f t="shared" si="15"/>
        <v>2024</v>
      </c>
    </row>
    <row r="480" spans="1:11" x14ac:dyDescent="0.3">
      <c r="A480" s="4" t="s">
        <v>522</v>
      </c>
      <c r="B480" s="8">
        <v>45560</v>
      </c>
      <c r="C480" s="4" t="s">
        <v>40</v>
      </c>
      <c r="D480" s="4" t="s">
        <v>41</v>
      </c>
      <c r="E480" s="4" t="s">
        <v>24</v>
      </c>
      <c r="F480" s="4" t="s">
        <v>32</v>
      </c>
      <c r="G480" s="4">
        <v>1</v>
      </c>
      <c r="H480" s="2">
        <v>2199</v>
      </c>
      <c r="I480" s="2">
        <v>2199</v>
      </c>
      <c r="J480" s="2" t="str">
        <f t="shared" si="14"/>
        <v>Sep</v>
      </c>
      <c r="K480" s="4">
        <f t="shared" si="15"/>
        <v>2024</v>
      </c>
    </row>
    <row r="481" spans="1:11" x14ac:dyDescent="0.3">
      <c r="A481" s="4" t="s">
        <v>523</v>
      </c>
      <c r="B481" s="8">
        <v>45560</v>
      </c>
      <c r="C481" s="4" t="s">
        <v>34</v>
      </c>
      <c r="D481" s="4" t="s">
        <v>28</v>
      </c>
      <c r="E481" s="4" t="s">
        <v>17</v>
      </c>
      <c r="F481" s="4" t="s">
        <v>13</v>
      </c>
      <c r="G481" s="4">
        <v>3</v>
      </c>
      <c r="H481" s="2">
        <v>799</v>
      </c>
      <c r="I481" s="2">
        <v>2397</v>
      </c>
      <c r="J481" s="2" t="str">
        <f t="shared" si="14"/>
        <v>Sep</v>
      </c>
      <c r="K481" s="4">
        <f t="shared" si="15"/>
        <v>2024</v>
      </c>
    </row>
    <row r="482" spans="1:11" x14ac:dyDescent="0.3">
      <c r="A482" s="4" t="s">
        <v>524</v>
      </c>
      <c r="B482" s="8">
        <v>45561</v>
      </c>
      <c r="C482" s="4" t="s">
        <v>45</v>
      </c>
      <c r="D482" s="4" t="s">
        <v>16</v>
      </c>
      <c r="E482" s="4" t="s">
        <v>17</v>
      </c>
      <c r="F482" s="4" t="s">
        <v>18</v>
      </c>
      <c r="G482" s="4">
        <v>5</v>
      </c>
      <c r="H482" s="2">
        <v>5499</v>
      </c>
      <c r="I482" s="2">
        <v>27495</v>
      </c>
      <c r="J482" s="2" t="str">
        <f t="shared" si="14"/>
        <v>Sep</v>
      </c>
      <c r="K482" s="4">
        <f t="shared" si="15"/>
        <v>2024</v>
      </c>
    </row>
    <row r="483" spans="1:11" x14ac:dyDescent="0.3">
      <c r="A483" s="4" t="s">
        <v>525</v>
      </c>
      <c r="B483" s="8">
        <v>45561</v>
      </c>
      <c r="C483" s="4" t="s">
        <v>70</v>
      </c>
      <c r="D483" s="4" t="s">
        <v>28</v>
      </c>
      <c r="E483" s="4" t="s">
        <v>35</v>
      </c>
      <c r="F483" s="4" t="s">
        <v>18</v>
      </c>
      <c r="G483" s="4">
        <v>3</v>
      </c>
      <c r="H483" s="2">
        <v>1019.15</v>
      </c>
      <c r="I483" s="2">
        <v>3057.45</v>
      </c>
      <c r="J483" s="2" t="str">
        <f t="shared" si="14"/>
        <v>Sep</v>
      </c>
      <c r="K483" s="4">
        <f t="shared" si="15"/>
        <v>2024</v>
      </c>
    </row>
    <row r="484" spans="1:11" x14ac:dyDescent="0.3">
      <c r="A484" s="4" t="s">
        <v>526</v>
      </c>
      <c r="B484" s="8">
        <v>45562</v>
      </c>
      <c r="C484" s="4" t="s">
        <v>45</v>
      </c>
      <c r="D484" s="4" t="s">
        <v>16</v>
      </c>
      <c r="E484" s="4" t="s">
        <v>17</v>
      </c>
      <c r="F484" s="4" t="s">
        <v>21</v>
      </c>
      <c r="G484" s="4">
        <v>2</v>
      </c>
      <c r="H484" s="2">
        <v>5499</v>
      </c>
      <c r="I484" s="2">
        <v>10998</v>
      </c>
      <c r="J484" s="2" t="str">
        <f t="shared" si="14"/>
        <v>Sep</v>
      </c>
      <c r="K484" s="4">
        <f t="shared" si="15"/>
        <v>2024</v>
      </c>
    </row>
    <row r="485" spans="1:11" x14ac:dyDescent="0.3">
      <c r="A485" s="4" t="s">
        <v>527</v>
      </c>
      <c r="B485" s="8">
        <v>45562</v>
      </c>
      <c r="C485" s="4" t="s">
        <v>15</v>
      </c>
      <c r="D485" s="4" t="s">
        <v>16</v>
      </c>
      <c r="E485" s="4" t="s">
        <v>24</v>
      </c>
      <c r="F485" s="4" t="s">
        <v>32</v>
      </c>
      <c r="G485" s="4">
        <v>1</v>
      </c>
      <c r="H485" s="2">
        <v>1999</v>
      </c>
      <c r="I485" s="2">
        <v>1999</v>
      </c>
      <c r="J485" s="2" t="str">
        <f t="shared" si="14"/>
        <v>Sep</v>
      </c>
      <c r="K485" s="4">
        <f t="shared" si="15"/>
        <v>2024</v>
      </c>
    </row>
    <row r="486" spans="1:11" x14ac:dyDescent="0.3">
      <c r="A486" s="4" t="s">
        <v>528</v>
      </c>
      <c r="B486" s="8">
        <v>45562</v>
      </c>
      <c r="C486" s="4" t="s">
        <v>15</v>
      </c>
      <c r="D486" s="4" t="s">
        <v>16</v>
      </c>
      <c r="E486" s="4" t="s">
        <v>24</v>
      </c>
      <c r="F486" s="4" t="s">
        <v>32</v>
      </c>
      <c r="G486" s="4">
        <v>4</v>
      </c>
      <c r="H486" s="2">
        <v>1999</v>
      </c>
      <c r="I486" s="2">
        <v>7996</v>
      </c>
      <c r="J486" s="2" t="str">
        <f t="shared" si="14"/>
        <v>Sep</v>
      </c>
      <c r="K486" s="4">
        <f t="shared" si="15"/>
        <v>2024</v>
      </c>
    </row>
    <row r="487" spans="1:11" x14ac:dyDescent="0.3">
      <c r="A487" s="4" t="s">
        <v>529</v>
      </c>
      <c r="B487" s="8">
        <v>45562</v>
      </c>
      <c r="C487" s="4" t="s">
        <v>15</v>
      </c>
      <c r="D487" s="4" t="s">
        <v>16</v>
      </c>
      <c r="E487" s="4" t="s">
        <v>12</v>
      </c>
      <c r="F487" s="4" t="s">
        <v>13</v>
      </c>
      <c r="G487" s="4">
        <v>8</v>
      </c>
      <c r="H487" s="2">
        <v>1899.05</v>
      </c>
      <c r="I487" s="2">
        <v>15192.4</v>
      </c>
      <c r="J487" s="2" t="str">
        <f t="shared" si="14"/>
        <v>Sep</v>
      </c>
      <c r="K487" s="4">
        <f t="shared" si="15"/>
        <v>2024</v>
      </c>
    </row>
    <row r="488" spans="1:11" x14ac:dyDescent="0.3">
      <c r="A488" s="4" t="s">
        <v>530</v>
      </c>
      <c r="B488" s="8">
        <v>45562</v>
      </c>
      <c r="C488" s="4" t="s">
        <v>15</v>
      </c>
      <c r="D488" s="4" t="s">
        <v>16</v>
      </c>
      <c r="E488" s="4" t="s">
        <v>24</v>
      </c>
      <c r="F488" s="4" t="s">
        <v>21</v>
      </c>
      <c r="G488" s="4">
        <v>6</v>
      </c>
      <c r="H488" s="2">
        <v>1999</v>
      </c>
      <c r="I488" s="2">
        <v>11994</v>
      </c>
      <c r="J488" s="2" t="str">
        <f t="shared" si="14"/>
        <v>Sep</v>
      </c>
      <c r="K488" s="4">
        <f t="shared" si="15"/>
        <v>2024</v>
      </c>
    </row>
    <row r="489" spans="1:11" x14ac:dyDescent="0.3">
      <c r="A489" s="4" t="s">
        <v>531</v>
      </c>
      <c r="B489" s="8">
        <v>45563</v>
      </c>
      <c r="C489" s="4" t="s">
        <v>70</v>
      </c>
      <c r="D489" s="4" t="s">
        <v>28</v>
      </c>
      <c r="E489" s="4" t="s">
        <v>24</v>
      </c>
      <c r="F489" s="4" t="s">
        <v>25</v>
      </c>
      <c r="G489" s="4">
        <v>2</v>
      </c>
      <c r="H489" s="2">
        <v>1199</v>
      </c>
      <c r="I489" s="2">
        <v>2398</v>
      </c>
      <c r="J489" s="2" t="str">
        <f t="shared" si="14"/>
        <v>Sep</v>
      </c>
      <c r="K489" s="4">
        <f t="shared" si="15"/>
        <v>2024</v>
      </c>
    </row>
    <row r="490" spans="1:11" x14ac:dyDescent="0.3">
      <c r="A490" s="4" t="s">
        <v>532</v>
      </c>
      <c r="B490" s="8">
        <v>45564</v>
      </c>
      <c r="C490" s="4" t="s">
        <v>30</v>
      </c>
      <c r="D490" s="4" t="s">
        <v>31</v>
      </c>
      <c r="E490" s="4" t="s">
        <v>35</v>
      </c>
      <c r="F490" s="4" t="s">
        <v>13</v>
      </c>
      <c r="G490" s="4">
        <v>5</v>
      </c>
      <c r="H490" s="2">
        <v>4499</v>
      </c>
      <c r="I490" s="2">
        <v>22495</v>
      </c>
      <c r="J490" s="2" t="str">
        <f t="shared" si="14"/>
        <v>Sep</v>
      </c>
      <c r="K490" s="4">
        <f t="shared" si="15"/>
        <v>2024</v>
      </c>
    </row>
    <row r="491" spans="1:11" x14ac:dyDescent="0.3">
      <c r="A491" s="4" t="s">
        <v>533</v>
      </c>
      <c r="B491" s="8">
        <v>45564</v>
      </c>
      <c r="C491" s="4" t="s">
        <v>37</v>
      </c>
      <c r="D491" s="4" t="s">
        <v>16</v>
      </c>
      <c r="E491" s="4" t="s">
        <v>35</v>
      </c>
      <c r="F491" s="4" t="s">
        <v>25</v>
      </c>
      <c r="G491" s="4">
        <v>5</v>
      </c>
      <c r="H491" s="2">
        <v>899</v>
      </c>
      <c r="I491" s="2">
        <v>4495</v>
      </c>
      <c r="J491" s="2" t="str">
        <f t="shared" si="14"/>
        <v>Sep</v>
      </c>
      <c r="K491" s="4">
        <f t="shared" si="15"/>
        <v>2024</v>
      </c>
    </row>
    <row r="492" spans="1:11" x14ac:dyDescent="0.3">
      <c r="A492" s="4" t="s">
        <v>534</v>
      </c>
      <c r="B492" s="8">
        <v>45564</v>
      </c>
      <c r="C492" s="4" t="s">
        <v>30</v>
      </c>
      <c r="D492" s="4" t="s">
        <v>31</v>
      </c>
      <c r="E492" s="4" t="s">
        <v>17</v>
      </c>
      <c r="F492" s="4" t="s">
        <v>32</v>
      </c>
      <c r="G492" s="4">
        <v>6</v>
      </c>
      <c r="H492" s="2">
        <v>4499</v>
      </c>
      <c r="I492" s="2">
        <v>26994</v>
      </c>
      <c r="J492" s="2" t="str">
        <f t="shared" si="14"/>
        <v>Sep</v>
      </c>
      <c r="K492" s="4">
        <f t="shared" si="15"/>
        <v>2024</v>
      </c>
    </row>
    <row r="493" spans="1:11" x14ac:dyDescent="0.3">
      <c r="A493" s="4" t="s">
        <v>535</v>
      </c>
      <c r="B493" s="8">
        <v>45564</v>
      </c>
      <c r="C493" s="4" t="s">
        <v>34</v>
      </c>
      <c r="D493" s="4" t="s">
        <v>28</v>
      </c>
      <c r="E493" s="4" t="s">
        <v>12</v>
      </c>
      <c r="F493" s="4" t="s">
        <v>18</v>
      </c>
      <c r="G493" s="4">
        <v>5</v>
      </c>
      <c r="H493" s="2">
        <v>799</v>
      </c>
      <c r="I493" s="2">
        <v>3995</v>
      </c>
      <c r="J493" s="2" t="str">
        <f t="shared" si="14"/>
        <v>Sep</v>
      </c>
      <c r="K493" s="4">
        <f t="shared" si="15"/>
        <v>2024</v>
      </c>
    </row>
    <row r="494" spans="1:11" x14ac:dyDescent="0.3">
      <c r="A494" s="4" t="s">
        <v>536</v>
      </c>
      <c r="B494" s="8">
        <v>45565</v>
      </c>
      <c r="C494" s="4" t="s">
        <v>107</v>
      </c>
      <c r="D494" s="4" t="s">
        <v>31</v>
      </c>
      <c r="E494" s="4" t="s">
        <v>17</v>
      </c>
      <c r="F494" s="4" t="s">
        <v>47</v>
      </c>
      <c r="G494" s="4">
        <v>1</v>
      </c>
      <c r="H494" s="2">
        <v>2969.1</v>
      </c>
      <c r="I494" s="2">
        <v>2969.1</v>
      </c>
      <c r="J494" s="2" t="str">
        <f t="shared" si="14"/>
        <v>Sep</v>
      </c>
      <c r="K494" s="4">
        <f t="shared" si="15"/>
        <v>2024</v>
      </c>
    </row>
    <row r="495" spans="1:11" x14ac:dyDescent="0.3">
      <c r="A495" s="4" t="s">
        <v>537</v>
      </c>
      <c r="B495" s="8">
        <v>45566</v>
      </c>
      <c r="C495" s="4" t="s">
        <v>52</v>
      </c>
      <c r="D495" s="4" t="s">
        <v>31</v>
      </c>
      <c r="E495" s="4" t="s">
        <v>17</v>
      </c>
      <c r="F495" s="4" t="s">
        <v>32</v>
      </c>
      <c r="G495" s="4">
        <v>10</v>
      </c>
      <c r="H495" s="2">
        <v>3999</v>
      </c>
      <c r="I495" s="2">
        <v>39990</v>
      </c>
      <c r="J495" s="2" t="str">
        <f t="shared" si="14"/>
        <v>Oct</v>
      </c>
      <c r="K495" s="4">
        <f t="shared" si="15"/>
        <v>2024</v>
      </c>
    </row>
    <row r="496" spans="1:11" x14ac:dyDescent="0.3">
      <c r="A496" s="4" t="s">
        <v>538</v>
      </c>
      <c r="B496" s="8">
        <v>45567</v>
      </c>
      <c r="C496" s="4" t="s">
        <v>20</v>
      </c>
      <c r="D496" s="4" t="s">
        <v>11</v>
      </c>
      <c r="E496" s="4" t="s">
        <v>35</v>
      </c>
      <c r="F496" s="4" t="s">
        <v>18</v>
      </c>
      <c r="G496" s="4">
        <v>2</v>
      </c>
      <c r="H496" s="2">
        <v>359.1</v>
      </c>
      <c r="I496" s="2">
        <v>718.2</v>
      </c>
      <c r="J496" s="2" t="str">
        <f t="shared" si="14"/>
        <v>Oct</v>
      </c>
      <c r="K496" s="4">
        <f t="shared" si="15"/>
        <v>2024</v>
      </c>
    </row>
    <row r="497" spans="1:11" x14ac:dyDescent="0.3">
      <c r="A497" s="4" t="s">
        <v>539</v>
      </c>
      <c r="B497" s="8">
        <v>45567</v>
      </c>
      <c r="C497" s="4" t="s">
        <v>37</v>
      </c>
      <c r="D497" s="4" t="s">
        <v>16</v>
      </c>
      <c r="E497" s="4" t="s">
        <v>35</v>
      </c>
      <c r="F497" s="4" t="s">
        <v>18</v>
      </c>
      <c r="G497" s="4">
        <v>5</v>
      </c>
      <c r="H497" s="2">
        <v>809.1</v>
      </c>
      <c r="I497" s="2">
        <v>4045.5</v>
      </c>
      <c r="J497" s="2" t="str">
        <f t="shared" si="14"/>
        <v>Oct</v>
      </c>
      <c r="K497" s="4">
        <f t="shared" si="15"/>
        <v>2024</v>
      </c>
    </row>
    <row r="498" spans="1:11" x14ac:dyDescent="0.3">
      <c r="A498" s="4" t="s">
        <v>540</v>
      </c>
      <c r="B498" s="8">
        <v>45568</v>
      </c>
      <c r="C498" s="4" t="s">
        <v>30</v>
      </c>
      <c r="D498" s="4" t="s">
        <v>31</v>
      </c>
      <c r="E498" s="4" t="s">
        <v>12</v>
      </c>
      <c r="F498" s="4" t="s">
        <v>21</v>
      </c>
      <c r="G498" s="4">
        <v>5</v>
      </c>
      <c r="H498" s="2">
        <v>4274.05</v>
      </c>
      <c r="I498" s="2">
        <v>21370.25</v>
      </c>
      <c r="J498" s="2" t="str">
        <f t="shared" si="14"/>
        <v>Oct</v>
      </c>
      <c r="K498" s="4">
        <f t="shared" si="15"/>
        <v>2024</v>
      </c>
    </row>
    <row r="499" spans="1:11" x14ac:dyDescent="0.3">
      <c r="A499" s="4" t="s">
        <v>541</v>
      </c>
      <c r="B499" s="8">
        <v>45568</v>
      </c>
      <c r="C499" s="4" t="s">
        <v>40</v>
      </c>
      <c r="D499" s="4" t="s">
        <v>41</v>
      </c>
      <c r="E499" s="4" t="s">
        <v>12</v>
      </c>
      <c r="F499" s="4" t="s">
        <v>13</v>
      </c>
      <c r="G499" s="4">
        <v>9</v>
      </c>
      <c r="H499" s="2">
        <v>2199</v>
      </c>
      <c r="I499" s="2">
        <v>19791</v>
      </c>
      <c r="J499" s="2" t="str">
        <f t="shared" si="14"/>
        <v>Oct</v>
      </c>
      <c r="K499" s="4">
        <f t="shared" si="15"/>
        <v>2024</v>
      </c>
    </row>
    <row r="500" spans="1:11" x14ac:dyDescent="0.3">
      <c r="A500" s="4" t="s">
        <v>542</v>
      </c>
      <c r="B500" s="8">
        <v>45569</v>
      </c>
      <c r="C500" s="4" t="s">
        <v>72</v>
      </c>
      <c r="D500" s="4" t="s">
        <v>16</v>
      </c>
      <c r="E500" s="4" t="s">
        <v>17</v>
      </c>
      <c r="F500" s="4" t="s">
        <v>13</v>
      </c>
      <c r="G500" s="4">
        <v>6</v>
      </c>
      <c r="H500" s="2">
        <v>1799</v>
      </c>
      <c r="I500" s="2">
        <v>10794</v>
      </c>
      <c r="J500" s="2" t="str">
        <f t="shared" si="14"/>
        <v>Oct</v>
      </c>
      <c r="K500" s="4">
        <f t="shared" si="15"/>
        <v>2024</v>
      </c>
    </row>
    <row r="501" spans="1:11" x14ac:dyDescent="0.3">
      <c r="A501" s="4" t="s">
        <v>543</v>
      </c>
      <c r="B501" s="8">
        <v>45569</v>
      </c>
      <c r="C501" s="4" t="s">
        <v>72</v>
      </c>
      <c r="D501" s="4" t="s">
        <v>16</v>
      </c>
      <c r="E501" s="4" t="s">
        <v>35</v>
      </c>
      <c r="F501" s="4" t="s">
        <v>18</v>
      </c>
      <c r="G501" s="4">
        <v>7</v>
      </c>
      <c r="H501" s="2">
        <v>1799</v>
      </c>
      <c r="I501" s="2">
        <v>12593</v>
      </c>
      <c r="J501" s="2" t="str">
        <f t="shared" si="14"/>
        <v>Oct</v>
      </c>
      <c r="K501" s="4">
        <f t="shared" si="15"/>
        <v>2024</v>
      </c>
    </row>
    <row r="502" spans="1:11" x14ac:dyDescent="0.3">
      <c r="A502" s="4" t="s">
        <v>544</v>
      </c>
      <c r="B502" s="8">
        <v>45569</v>
      </c>
      <c r="C502" s="4" t="s">
        <v>45</v>
      </c>
      <c r="D502" s="4" t="s">
        <v>16</v>
      </c>
      <c r="E502" s="4" t="s">
        <v>24</v>
      </c>
      <c r="F502" s="4" t="s">
        <v>25</v>
      </c>
      <c r="G502" s="4">
        <v>3</v>
      </c>
      <c r="H502" s="2">
        <v>5499</v>
      </c>
      <c r="I502" s="2">
        <v>16497</v>
      </c>
      <c r="J502" s="2" t="str">
        <f t="shared" si="14"/>
        <v>Oct</v>
      </c>
      <c r="K502" s="4">
        <f t="shared" si="15"/>
        <v>2024</v>
      </c>
    </row>
    <row r="503" spans="1:11" x14ac:dyDescent="0.3">
      <c r="A503" s="4" t="s">
        <v>545</v>
      </c>
      <c r="B503" s="8">
        <v>45570</v>
      </c>
      <c r="C503" s="4" t="s">
        <v>67</v>
      </c>
      <c r="D503" s="4" t="s">
        <v>11</v>
      </c>
      <c r="E503" s="4" t="s">
        <v>17</v>
      </c>
      <c r="F503" s="4" t="s">
        <v>18</v>
      </c>
      <c r="G503" s="4">
        <v>9</v>
      </c>
      <c r="H503" s="2">
        <v>349</v>
      </c>
      <c r="I503" s="2">
        <v>3141</v>
      </c>
      <c r="J503" s="2" t="str">
        <f t="shared" si="14"/>
        <v>Oct</v>
      </c>
      <c r="K503" s="4">
        <f t="shared" si="15"/>
        <v>2024</v>
      </c>
    </row>
    <row r="504" spans="1:11" x14ac:dyDescent="0.3">
      <c r="A504" s="4" t="s">
        <v>546</v>
      </c>
      <c r="B504" s="8">
        <v>45570</v>
      </c>
      <c r="C504" s="4" t="s">
        <v>107</v>
      </c>
      <c r="D504" s="4" t="s">
        <v>31</v>
      </c>
      <c r="E504" s="4" t="s">
        <v>17</v>
      </c>
      <c r="F504" s="4" t="s">
        <v>21</v>
      </c>
      <c r="G504" s="4">
        <v>4</v>
      </c>
      <c r="H504" s="2">
        <v>3299</v>
      </c>
      <c r="I504" s="2">
        <v>13196</v>
      </c>
      <c r="J504" s="2" t="str">
        <f t="shared" si="14"/>
        <v>Oct</v>
      </c>
      <c r="K504" s="4">
        <f t="shared" si="15"/>
        <v>2024</v>
      </c>
    </row>
    <row r="505" spans="1:11" x14ac:dyDescent="0.3">
      <c r="A505" s="4" t="s">
        <v>547</v>
      </c>
      <c r="B505" s="8">
        <v>45571</v>
      </c>
      <c r="C505" s="4" t="s">
        <v>27</v>
      </c>
      <c r="D505" s="4" t="s">
        <v>28</v>
      </c>
      <c r="E505" s="4" t="s">
        <v>24</v>
      </c>
      <c r="F505" s="4" t="s">
        <v>47</v>
      </c>
      <c r="G505" s="4">
        <v>9</v>
      </c>
      <c r="H505" s="2">
        <v>3499</v>
      </c>
      <c r="I505" s="2">
        <v>31491</v>
      </c>
      <c r="J505" s="2" t="str">
        <f t="shared" si="14"/>
        <v>Oct</v>
      </c>
      <c r="K505" s="4">
        <f t="shared" si="15"/>
        <v>2024</v>
      </c>
    </row>
    <row r="506" spans="1:11" x14ac:dyDescent="0.3">
      <c r="A506" s="4" t="s">
        <v>548</v>
      </c>
      <c r="B506" s="8">
        <v>45572</v>
      </c>
      <c r="C506" s="4" t="s">
        <v>57</v>
      </c>
      <c r="D506" s="4" t="s">
        <v>31</v>
      </c>
      <c r="E506" s="4" t="s">
        <v>24</v>
      </c>
      <c r="F506" s="4" t="s">
        <v>21</v>
      </c>
      <c r="G506" s="4">
        <v>4</v>
      </c>
      <c r="H506" s="2">
        <v>1299</v>
      </c>
      <c r="I506" s="2">
        <v>5196</v>
      </c>
      <c r="J506" s="2" t="str">
        <f t="shared" si="14"/>
        <v>Oct</v>
      </c>
      <c r="K506" s="4">
        <f t="shared" si="15"/>
        <v>2024</v>
      </c>
    </row>
    <row r="507" spans="1:11" x14ac:dyDescent="0.3">
      <c r="A507" s="4" t="s">
        <v>549</v>
      </c>
      <c r="B507" s="8">
        <v>45574</v>
      </c>
      <c r="C507" s="4" t="s">
        <v>50</v>
      </c>
      <c r="D507" s="4" t="s">
        <v>41</v>
      </c>
      <c r="E507" s="4" t="s">
        <v>12</v>
      </c>
      <c r="F507" s="4" t="s">
        <v>32</v>
      </c>
      <c r="G507" s="4">
        <v>6</v>
      </c>
      <c r="H507" s="2">
        <v>949.05</v>
      </c>
      <c r="I507" s="2">
        <v>5694.3</v>
      </c>
      <c r="J507" s="2" t="str">
        <f t="shared" si="14"/>
        <v>Oct</v>
      </c>
      <c r="K507" s="4">
        <f t="shared" si="15"/>
        <v>2024</v>
      </c>
    </row>
    <row r="508" spans="1:11" x14ac:dyDescent="0.3">
      <c r="A508" s="4" t="s">
        <v>550</v>
      </c>
      <c r="B508" s="8">
        <v>45574</v>
      </c>
      <c r="C508" s="4" t="s">
        <v>34</v>
      </c>
      <c r="D508" s="4" t="s">
        <v>28</v>
      </c>
      <c r="E508" s="4" t="s">
        <v>17</v>
      </c>
      <c r="F508" s="4" t="s">
        <v>47</v>
      </c>
      <c r="G508" s="4">
        <v>1</v>
      </c>
      <c r="H508" s="2">
        <v>799</v>
      </c>
      <c r="I508" s="2">
        <v>799</v>
      </c>
      <c r="J508" s="2" t="str">
        <f t="shared" si="14"/>
        <v>Oct</v>
      </c>
      <c r="K508" s="4">
        <f t="shared" si="15"/>
        <v>2024</v>
      </c>
    </row>
    <row r="509" spans="1:11" x14ac:dyDescent="0.3">
      <c r="A509" s="4" t="s">
        <v>551</v>
      </c>
      <c r="B509" s="8">
        <v>45575</v>
      </c>
      <c r="C509" s="4" t="s">
        <v>23</v>
      </c>
      <c r="D509" s="4" t="s">
        <v>16</v>
      </c>
      <c r="E509" s="4" t="s">
        <v>24</v>
      </c>
      <c r="F509" s="4" t="s">
        <v>25</v>
      </c>
      <c r="G509" s="4">
        <v>9</v>
      </c>
      <c r="H509" s="2">
        <v>2499</v>
      </c>
      <c r="I509" s="2">
        <v>22491</v>
      </c>
      <c r="J509" s="2" t="str">
        <f t="shared" si="14"/>
        <v>Oct</v>
      </c>
      <c r="K509" s="4">
        <f t="shared" si="15"/>
        <v>2024</v>
      </c>
    </row>
    <row r="510" spans="1:11" x14ac:dyDescent="0.3">
      <c r="A510" s="4" t="s">
        <v>552</v>
      </c>
      <c r="B510" s="8">
        <v>45575</v>
      </c>
      <c r="C510" s="4" t="s">
        <v>23</v>
      </c>
      <c r="D510" s="4" t="s">
        <v>16</v>
      </c>
      <c r="E510" s="4" t="s">
        <v>24</v>
      </c>
      <c r="F510" s="4" t="s">
        <v>18</v>
      </c>
      <c r="G510" s="4">
        <v>12</v>
      </c>
      <c r="H510" s="2">
        <v>2249.1</v>
      </c>
      <c r="I510" s="2">
        <v>26989.200000000001</v>
      </c>
      <c r="J510" s="2" t="str">
        <f t="shared" si="14"/>
        <v>Oct</v>
      </c>
      <c r="K510" s="4">
        <f t="shared" si="15"/>
        <v>2024</v>
      </c>
    </row>
    <row r="511" spans="1:11" x14ac:dyDescent="0.3">
      <c r="A511" s="4" t="s">
        <v>553</v>
      </c>
      <c r="B511" s="8">
        <v>45577</v>
      </c>
      <c r="C511" s="4" t="s">
        <v>52</v>
      </c>
      <c r="D511" s="4" t="s">
        <v>31</v>
      </c>
      <c r="E511" s="4" t="s">
        <v>24</v>
      </c>
      <c r="F511" s="4" t="s">
        <v>25</v>
      </c>
      <c r="G511" s="4">
        <v>1</v>
      </c>
      <c r="H511" s="2">
        <v>3999</v>
      </c>
      <c r="I511" s="2">
        <v>3999</v>
      </c>
      <c r="J511" s="2" t="str">
        <f t="shared" si="14"/>
        <v>Oct</v>
      </c>
      <c r="K511" s="4">
        <f t="shared" si="15"/>
        <v>2024</v>
      </c>
    </row>
    <row r="512" spans="1:11" x14ac:dyDescent="0.3">
      <c r="A512" s="4" t="s">
        <v>554</v>
      </c>
      <c r="B512" s="8">
        <v>45577</v>
      </c>
      <c r="C512" s="4" t="s">
        <v>10</v>
      </c>
      <c r="D512" s="4" t="s">
        <v>11</v>
      </c>
      <c r="E512" s="4" t="s">
        <v>24</v>
      </c>
      <c r="F512" s="4" t="s">
        <v>25</v>
      </c>
      <c r="G512" s="4">
        <v>3</v>
      </c>
      <c r="H512" s="2">
        <v>299</v>
      </c>
      <c r="I512" s="2">
        <v>897</v>
      </c>
      <c r="J512" s="2" t="str">
        <f t="shared" si="14"/>
        <v>Oct</v>
      </c>
      <c r="K512" s="4">
        <f t="shared" si="15"/>
        <v>2024</v>
      </c>
    </row>
    <row r="513" spans="1:11" x14ac:dyDescent="0.3">
      <c r="A513" s="4" t="s">
        <v>555</v>
      </c>
      <c r="B513" s="8">
        <v>45578</v>
      </c>
      <c r="C513" s="4" t="s">
        <v>70</v>
      </c>
      <c r="D513" s="4" t="s">
        <v>28</v>
      </c>
      <c r="E513" s="4" t="s">
        <v>24</v>
      </c>
      <c r="F513" s="4" t="s">
        <v>47</v>
      </c>
      <c r="G513" s="4">
        <v>8</v>
      </c>
      <c r="H513" s="2">
        <v>1139.05</v>
      </c>
      <c r="I513" s="2">
        <v>9112.4</v>
      </c>
      <c r="J513" s="2" t="str">
        <f t="shared" si="14"/>
        <v>Oct</v>
      </c>
      <c r="K513" s="4">
        <f t="shared" si="15"/>
        <v>2024</v>
      </c>
    </row>
    <row r="514" spans="1:11" x14ac:dyDescent="0.3">
      <c r="A514" s="4" t="s">
        <v>556</v>
      </c>
      <c r="B514" s="8">
        <v>45578</v>
      </c>
      <c r="C514" s="4" t="s">
        <v>67</v>
      </c>
      <c r="D514" s="4" t="s">
        <v>11</v>
      </c>
      <c r="E514" s="4" t="s">
        <v>12</v>
      </c>
      <c r="F514" s="4" t="s">
        <v>47</v>
      </c>
      <c r="G514" s="4">
        <v>2</v>
      </c>
      <c r="H514" s="2">
        <v>349</v>
      </c>
      <c r="I514" s="2">
        <v>698</v>
      </c>
      <c r="J514" s="2" t="str">
        <f t="shared" ref="J514:J577" si="16">TEXT(B514,"mmm")</f>
        <v>Oct</v>
      </c>
      <c r="K514" s="4">
        <f t="shared" ref="K514:K577" si="17">YEAR(B514)</f>
        <v>2024</v>
      </c>
    </row>
    <row r="515" spans="1:11" x14ac:dyDescent="0.3">
      <c r="A515" s="4" t="s">
        <v>557</v>
      </c>
      <c r="B515" s="8">
        <v>45579</v>
      </c>
      <c r="C515" s="4" t="s">
        <v>72</v>
      </c>
      <c r="D515" s="4" t="s">
        <v>16</v>
      </c>
      <c r="E515" s="4" t="s">
        <v>24</v>
      </c>
      <c r="F515" s="4" t="s">
        <v>18</v>
      </c>
      <c r="G515" s="4">
        <v>2</v>
      </c>
      <c r="H515" s="2">
        <v>1799</v>
      </c>
      <c r="I515" s="2">
        <v>3598</v>
      </c>
      <c r="J515" s="2" t="str">
        <f t="shared" si="16"/>
        <v>Oct</v>
      </c>
      <c r="K515" s="4">
        <f t="shared" si="17"/>
        <v>2024</v>
      </c>
    </row>
    <row r="516" spans="1:11" x14ac:dyDescent="0.3">
      <c r="A516" s="4" t="s">
        <v>558</v>
      </c>
      <c r="B516" s="8">
        <v>45579</v>
      </c>
      <c r="C516" s="4" t="s">
        <v>72</v>
      </c>
      <c r="D516" s="4" t="s">
        <v>16</v>
      </c>
      <c r="E516" s="4" t="s">
        <v>12</v>
      </c>
      <c r="F516" s="4" t="s">
        <v>47</v>
      </c>
      <c r="G516" s="4">
        <v>2</v>
      </c>
      <c r="H516" s="2">
        <v>1709.05</v>
      </c>
      <c r="I516" s="2">
        <v>3418.1</v>
      </c>
      <c r="J516" s="2" t="str">
        <f t="shared" si="16"/>
        <v>Oct</v>
      </c>
      <c r="K516" s="4">
        <f t="shared" si="17"/>
        <v>2024</v>
      </c>
    </row>
    <row r="517" spans="1:11" x14ac:dyDescent="0.3">
      <c r="A517" s="4" t="s">
        <v>559</v>
      </c>
      <c r="B517" s="8">
        <v>45580</v>
      </c>
      <c r="C517" s="4" t="s">
        <v>23</v>
      </c>
      <c r="D517" s="4" t="s">
        <v>16</v>
      </c>
      <c r="E517" s="4" t="s">
        <v>24</v>
      </c>
      <c r="F517" s="4" t="s">
        <v>21</v>
      </c>
      <c r="G517" s="4">
        <v>7</v>
      </c>
      <c r="H517" s="2">
        <v>2499</v>
      </c>
      <c r="I517" s="2">
        <v>17493</v>
      </c>
      <c r="J517" s="2" t="str">
        <f t="shared" si="16"/>
        <v>Oct</v>
      </c>
      <c r="K517" s="4">
        <f t="shared" si="17"/>
        <v>2024</v>
      </c>
    </row>
    <row r="518" spans="1:11" x14ac:dyDescent="0.3">
      <c r="A518" s="4" t="s">
        <v>560</v>
      </c>
      <c r="B518" s="8">
        <v>45581</v>
      </c>
      <c r="C518" s="4" t="s">
        <v>23</v>
      </c>
      <c r="D518" s="4" t="s">
        <v>16</v>
      </c>
      <c r="E518" s="4" t="s">
        <v>17</v>
      </c>
      <c r="F518" s="4" t="s">
        <v>47</v>
      </c>
      <c r="G518" s="4">
        <v>4</v>
      </c>
      <c r="H518" s="2">
        <v>2499</v>
      </c>
      <c r="I518" s="2">
        <v>9996</v>
      </c>
      <c r="J518" s="2" t="str">
        <f t="shared" si="16"/>
        <v>Oct</v>
      </c>
      <c r="K518" s="4">
        <f t="shared" si="17"/>
        <v>2024</v>
      </c>
    </row>
    <row r="519" spans="1:11" x14ac:dyDescent="0.3">
      <c r="A519" s="4" t="s">
        <v>561</v>
      </c>
      <c r="B519" s="8">
        <v>45581</v>
      </c>
      <c r="C519" s="4" t="s">
        <v>64</v>
      </c>
      <c r="D519" s="4" t="s">
        <v>41</v>
      </c>
      <c r="E519" s="4" t="s">
        <v>17</v>
      </c>
      <c r="F519" s="4" t="s">
        <v>13</v>
      </c>
      <c r="G519" s="4">
        <v>7</v>
      </c>
      <c r="H519" s="2">
        <v>1799</v>
      </c>
      <c r="I519" s="2">
        <v>12593</v>
      </c>
      <c r="J519" s="2" t="str">
        <f t="shared" si="16"/>
        <v>Oct</v>
      </c>
      <c r="K519" s="4">
        <f t="shared" si="17"/>
        <v>2024</v>
      </c>
    </row>
    <row r="520" spans="1:11" x14ac:dyDescent="0.3">
      <c r="A520" s="4" t="s">
        <v>562</v>
      </c>
      <c r="B520" s="8">
        <v>45582</v>
      </c>
      <c r="C520" s="4" t="s">
        <v>10</v>
      </c>
      <c r="D520" s="4" t="s">
        <v>11</v>
      </c>
      <c r="E520" s="4" t="s">
        <v>12</v>
      </c>
      <c r="F520" s="4" t="s">
        <v>13</v>
      </c>
      <c r="G520" s="4">
        <v>8</v>
      </c>
      <c r="H520" s="2">
        <v>299</v>
      </c>
      <c r="I520" s="2">
        <v>2392</v>
      </c>
      <c r="J520" s="2" t="str">
        <f t="shared" si="16"/>
        <v>Oct</v>
      </c>
      <c r="K520" s="4">
        <f t="shared" si="17"/>
        <v>2024</v>
      </c>
    </row>
    <row r="521" spans="1:11" x14ac:dyDescent="0.3">
      <c r="A521" s="4" t="s">
        <v>563</v>
      </c>
      <c r="B521" s="8">
        <v>45582</v>
      </c>
      <c r="C521" s="4" t="s">
        <v>50</v>
      </c>
      <c r="D521" s="4" t="s">
        <v>41</v>
      </c>
      <c r="E521" s="4" t="s">
        <v>17</v>
      </c>
      <c r="F521" s="4" t="s">
        <v>21</v>
      </c>
      <c r="G521" s="4">
        <v>5</v>
      </c>
      <c r="H521" s="2">
        <v>999</v>
      </c>
      <c r="I521" s="2">
        <v>4995</v>
      </c>
      <c r="J521" s="2" t="str">
        <f t="shared" si="16"/>
        <v>Oct</v>
      </c>
      <c r="K521" s="4">
        <f t="shared" si="17"/>
        <v>2024</v>
      </c>
    </row>
    <row r="522" spans="1:11" x14ac:dyDescent="0.3">
      <c r="A522" s="4" t="s">
        <v>564</v>
      </c>
      <c r="B522" s="8">
        <v>45583</v>
      </c>
      <c r="C522" s="4" t="s">
        <v>67</v>
      </c>
      <c r="D522" s="4" t="s">
        <v>11</v>
      </c>
      <c r="E522" s="4" t="s">
        <v>24</v>
      </c>
      <c r="F522" s="4" t="s">
        <v>32</v>
      </c>
      <c r="G522" s="4">
        <v>3</v>
      </c>
      <c r="H522" s="2">
        <v>349</v>
      </c>
      <c r="I522" s="2">
        <v>1047</v>
      </c>
      <c r="J522" s="2" t="str">
        <f t="shared" si="16"/>
        <v>Oct</v>
      </c>
      <c r="K522" s="4">
        <f t="shared" si="17"/>
        <v>2024</v>
      </c>
    </row>
    <row r="523" spans="1:11" x14ac:dyDescent="0.3">
      <c r="A523" s="4" t="s">
        <v>565</v>
      </c>
      <c r="B523" s="8">
        <v>45583</v>
      </c>
      <c r="C523" s="4" t="s">
        <v>40</v>
      </c>
      <c r="D523" s="4" t="s">
        <v>41</v>
      </c>
      <c r="E523" s="4" t="s">
        <v>35</v>
      </c>
      <c r="F523" s="4" t="s">
        <v>25</v>
      </c>
      <c r="G523" s="4">
        <v>5</v>
      </c>
      <c r="H523" s="2">
        <v>2199</v>
      </c>
      <c r="I523" s="2">
        <v>10995</v>
      </c>
      <c r="J523" s="2" t="str">
        <f t="shared" si="16"/>
        <v>Oct</v>
      </c>
      <c r="K523" s="4">
        <f t="shared" si="17"/>
        <v>2024</v>
      </c>
    </row>
    <row r="524" spans="1:11" x14ac:dyDescent="0.3">
      <c r="A524" s="4" t="s">
        <v>566</v>
      </c>
      <c r="B524" s="8">
        <v>45583</v>
      </c>
      <c r="C524" s="4" t="s">
        <v>70</v>
      </c>
      <c r="D524" s="4" t="s">
        <v>28</v>
      </c>
      <c r="E524" s="4" t="s">
        <v>24</v>
      </c>
      <c r="F524" s="4" t="s">
        <v>18</v>
      </c>
      <c r="G524" s="4">
        <v>1</v>
      </c>
      <c r="H524" s="2">
        <v>1199</v>
      </c>
      <c r="I524" s="2">
        <v>1199</v>
      </c>
      <c r="J524" s="2" t="str">
        <f t="shared" si="16"/>
        <v>Oct</v>
      </c>
      <c r="K524" s="4">
        <f t="shared" si="17"/>
        <v>2024</v>
      </c>
    </row>
    <row r="525" spans="1:11" x14ac:dyDescent="0.3">
      <c r="A525" s="4" t="s">
        <v>567</v>
      </c>
      <c r="B525" s="8">
        <v>45584</v>
      </c>
      <c r="C525" s="4" t="s">
        <v>37</v>
      </c>
      <c r="D525" s="4" t="s">
        <v>16</v>
      </c>
      <c r="E525" s="4" t="s">
        <v>24</v>
      </c>
      <c r="F525" s="4" t="s">
        <v>18</v>
      </c>
      <c r="G525" s="4">
        <v>7</v>
      </c>
      <c r="H525" s="2">
        <v>899</v>
      </c>
      <c r="I525" s="2">
        <v>6293</v>
      </c>
      <c r="J525" s="2" t="str">
        <f t="shared" si="16"/>
        <v>Oct</v>
      </c>
      <c r="K525" s="4">
        <f t="shared" si="17"/>
        <v>2024</v>
      </c>
    </row>
    <row r="526" spans="1:11" x14ac:dyDescent="0.3">
      <c r="A526" s="4" t="s">
        <v>568</v>
      </c>
      <c r="B526" s="8">
        <v>45584</v>
      </c>
      <c r="C526" s="4" t="s">
        <v>40</v>
      </c>
      <c r="D526" s="4" t="s">
        <v>41</v>
      </c>
      <c r="E526" s="4" t="s">
        <v>12</v>
      </c>
      <c r="F526" s="4" t="s">
        <v>25</v>
      </c>
      <c r="G526" s="4">
        <v>9</v>
      </c>
      <c r="H526" s="2">
        <v>2199</v>
      </c>
      <c r="I526" s="2">
        <v>19791</v>
      </c>
      <c r="J526" s="2" t="str">
        <f t="shared" si="16"/>
        <v>Oct</v>
      </c>
      <c r="K526" s="4">
        <f t="shared" si="17"/>
        <v>2024</v>
      </c>
    </row>
    <row r="527" spans="1:11" x14ac:dyDescent="0.3">
      <c r="A527" s="4" t="s">
        <v>569</v>
      </c>
      <c r="B527" s="8">
        <v>45586</v>
      </c>
      <c r="C527" s="4" t="s">
        <v>34</v>
      </c>
      <c r="D527" s="4" t="s">
        <v>28</v>
      </c>
      <c r="E527" s="4" t="s">
        <v>24</v>
      </c>
      <c r="F527" s="4" t="s">
        <v>32</v>
      </c>
      <c r="G527" s="4">
        <v>3</v>
      </c>
      <c r="H527" s="2">
        <v>799</v>
      </c>
      <c r="I527" s="2">
        <v>2397</v>
      </c>
      <c r="J527" s="2" t="str">
        <f t="shared" si="16"/>
        <v>Oct</v>
      </c>
      <c r="K527" s="4">
        <f t="shared" si="17"/>
        <v>2024</v>
      </c>
    </row>
    <row r="528" spans="1:11" x14ac:dyDescent="0.3">
      <c r="A528" s="4" t="s">
        <v>570</v>
      </c>
      <c r="B528" s="8">
        <v>45586</v>
      </c>
      <c r="C528" s="4" t="s">
        <v>70</v>
      </c>
      <c r="D528" s="4" t="s">
        <v>28</v>
      </c>
      <c r="E528" s="4" t="s">
        <v>17</v>
      </c>
      <c r="F528" s="4" t="s">
        <v>13</v>
      </c>
      <c r="G528" s="4">
        <v>1</v>
      </c>
      <c r="H528" s="2">
        <v>1199</v>
      </c>
      <c r="I528" s="2">
        <v>1199</v>
      </c>
      <c r="J528" s="2" t="str">
        <f t="shared" si="16"/>
        <v>Oct</v>
      </c>
      <c r="K528" s="4">
        <f t="shared" si="17"/>
        <v>2024</v>
      </c>
    </row>
    <row r="529" spans="1:11" x14ac:dyDescent="0.3">
      <c r="A529" s="4" t="s">
        <v>571</v>
      </c>
      <c r="B529" s="8">
        <v>45587</v>
      </c>
      <c r="C529" s="4" t="s">
        <v>30</v>
      </c>
      <c r="D529" s="4" t="s">
        <v>31</v>
      </c>
      <c r="E529" s="4" t="s">
        <v>12</v>
      </c>
      <c r="F529" s="4" t="s">
        <v>13</v>
      </c>
      <c r="G529" s="4">
        <v>9</v>
      </c>
      <c r="H529" s="2">
        <v>4499</v>
      </c>
      <c r="I529" s="2">
        <v>40491</v>
      </c>
      <c r="J529" s="2" t="str">
        <f t="shared" si="16"/>
        <v>Oct</v>
      </c>
      <c r="K529" s="4">
        <f t="shared" si="17"/>
        <v>2024</v>
      </c>
    </row>
    <row r="530" spans="1:11" x14ac:dyDescent="0.3">
      <c r="A530" s="4" t="s">
        <v>572</v>
      </c>
      <c r="B530" s="8">
        <v>45587</v>
      </c>
      <c r="C530" s="4" t="s">
        <v>72</v>
      </c>
      <c r="D530" s="4" t="s">
        <v>16</v>
      </c>
      <c r="E530" s="4" t="s">
        <v>24</v>
      </c>
      <c r="F530" s="4" t="s">
        <v>21</v>
      </c>
      <c r="G530" s="4">
        <v>5</v>
      </c>
      <c r="H530" s="2">
        <v>1799</v>
      </c>
      <c r="I530" s="2">
        <v>8995</v>
      </c>
      <c r="J530" s="2" t="str">
        <f t="shared" si="16"/>
        <v>Oct</v>
      </c>
      <c r="K530" s="4">
        <f t="shared" si="17"/>
        <v>2024</v>
      </c>
    </row>
    <row r="531" spans="1:11" x14ac:dyDescent="0.3">
      <c r="A531" s="4" t="s">
        <v>573</v>
      </c>
      <c r="B531" s="8">
        <v>45588</v>
      </c>
      <c r="C531" s="4" t="s">
        <v>45</v>
      </c>
      <c r="D531" s="4" t="s">
        <v>16</v>
      </c>
      <c r="E531" s="4" t="s">
        <v>24</v>
      </c>
      <c r="F531" s="4" t="s">
        <v>18</v>
      </c>
      <c r="G531" s="4">
        <v>8</v>
      </c>
      <c r="H531" s="2">
        <v>4949.1000000000004</v>
      </c>
      <c r="I531" s="2">
        <v>39592.800000000003</v>
      </c>
      <c r="J531" s="2" t="str">
        <f t="shared" si="16"/>
        <v>Oct</v>
      </c>
      <c r="K531" s="4">
        <f t="shared" si="17"/>
        <v>2024</v>
      </c>
    </row>
    <row r="532" spans="1:11" x14ac:dyDescent="0.3">
      <c r="A532" s="4" t="s">
        <v>574</v>
      </c>
      <c r="B532" s="8">
        <v>45589</v>
      </c>
      <c r="C532" s="4" t="s">
        <v>86</v>
      </c>
      <c r="D532" s="4" t="s">
        <v>28</v>
      </c>
      <c r="E532" s="4" t="s">
        <v>17</v>
      </c>
      <c r="F532" s="4" t="s">
        <v>18</v>
      </c>
      <c r="G532" s="4">
        <v>3</v>
      </c>
      <c r="H532" s="2">
        <v>764.15</v>
      </c>
      <c r="I532" s="2">
        <v>2292.4499999999998</v>
      </c>
      <c r="J532" s="2" t="str">
        <f t="shared" si="16"/>
        <v>Oct</v>
      </c>
      <c r="K532" s="4">
        <f t="shared" si="17"/>
        <v>2024</v>
      </c>
    </row>
    <row r="533" spans="1:11" x14ac:dyDescent="0.3">
      <c r="A533" s="4" t="s">
        <v>575</v>
      </c>
      <c r="B533" s="8">
        <v>45589</v>
      </c>
      <c r="C533" s="4" t="s">
        <v>45</v>
      </c>
      <c r="D533" s="4" t="s">
        <v>16</v>
      </c>
      <c r="E533" s="4" t="s">
        <v>12</v>
      </c>
      <c r="F533" s="4" t="s">
        <v>21</v>
      </c>
      <c r="G533" s="4">
        <v>11</v>
      </c>
      <c r="H533" s="2">
        <v>5499</v>
      </c>
      <c r="I533" s="2">
        <v>60489</v>
      </c>
      <c r="J533" s="2" t="str">
        <f t="shared" si="16"/>
        <v>Oct</v>
      </c>
      <c r="K533" s="4">
        <f t="shared" si="17"/>
        <v>2024</v>
      </c>
    </row>
    <row r="534" spans="1:11" x14ac:dyDescent="0.3">
      <c r="A534" s="4" t="s">
        <v>576</v>
      </c>
      <c r="B534" s="8">
        <v>45591</v>
      </c>
      <c r="C534" s="4" t="s">
        <v>34</v>
      </c>
      <c r="D534" s="4" t="s">
        <v>28</v>
      </c>
      <c r="E534" s="4" t="s">
        <v>12</v>
      </c>
      <c r="F534" s="4" t="s">
        <v>18</v>
      </c>
      <c r="G534" s="4">
        <v>5</v>
      </c>
      <c r="H534" s="2">
        <v>799</v>
      </c>
      <c r="I534" s="2">
        <v>3995</v>
      </c>
      <c r="J534" s="2" t="str">
        <f t="shared" si="16"/>
        <v>Oct</v>
      </c>
      <c r="K534" s="4">
        <f t="shared" si="17"/>
        <v>2024</v>
      </c>
    </row>
    <row r="535" spans="1:11" x14ac:dyDescent="0.3">
      <c r="A535" s="4" t="s">
        <v>577</v>
      </c>
      <c r="B535" s="8">
        <v>45592</v>
      </c>
      <c r="C535" s="4" t="s">
        <v>70</v>
      </c>
      <c r="D535" s="4" t="s">
        <v>28</v>
      </c>
      <c r="E535" s="4" t="s">
        <v>24</v>
      </c>
      <c r="F535" s="4" t="s">
        <v>32</v>
      </c>
      <c r="G535" s="4">
        <v>9</v>
      </c>
      <c r="H535" s="2">
        <v>1199</v>
      </c>
      <c r="I535" s="2">
        <v>10791</v>
      </c>
      <c r="J535" s="2" t="str">
        <f t="shared" si="16"/>
        <v>Oct</v>
      </c>
      <c r="K535" s="4">
        <f t="shared" si="17"/>
        <v>2024</v>
      </c>
    </row>
    <row r="536" spans="1:11" x14ac:dyDescent="0.3">
      <c r="A536" s="4" t="s">
        <v>578</v>
      </c>
      <c r="B536" s="8">
        <v>45593</v>
      </c>
      <c r="C536" s="4" t="s">
        <v>57</v>
      </c>
      <c r="D536" s="4" t="s">
        <v>31</v>
      </c>
      <c r="E536" s="4" t="s">
        <v>35</v>
      </c>
      <c r="F536" s="4" t="s">
        <v>47</v>
      </c>
      <c r="G536" s="4">
        <v>1</v>
      </c>
      <c r="H536" s="2">
        <v>1299</v>
      </c>
      <c r="I536" s="2">
        <v>1299</v>
      </c>
      <c r="J536" s="2" t="str">
        <f t="shared" si="16"/>
        <v>Oct</v>
      </c>
      <c r="K536" s="4">
        <f t="shared" si="17"/>
        <v>2024</v>
      </c>
    </row>
    <row r="537" spans="1:11" x14ac:dyDescent="0.3">
      <c r="A537" s="4" t="s">
        <v>579</v>
      </c>
      <c r="B537" s="8">
        <v>45593</v>
      </c>
      <c r="C537" s="4" t="s">
        <v>15</v>
      </c>
      <c r="D537" s="4" t="s">
        <v>16</v>
      </c>
      <c r="E537" s="4" t="s">
        <v>17</v>
      </c>
      <c r="F537" s="4" t="s">
        <v>25</v>
      </c>
      <c r="G537" s="4">
        <v>9</v>
      </c>
      <c r="H537" s="2">
        <v>1999</v>
      </c>
      <c r="I537" s="2">
        <v>17991</v>
      </c>
      <c r="J537" s="2" t="str">
        <f t="shared" si="16"/>
        <v>Oct</v>
      </c>
      <c r="K537" s="4">
        <f t="shared" si="17"/>
        <v>2024</v>
      </c>
    </row>
    <row r="538" spans="1:11" x14ac:dyDescent="0.3">
      <c r="A538" s="4" t="s">
        <v>580</v>
      </c>
      <c r="B538" s="8">
        <v>45594</v>
      </c>
      <c r="C538" s="4" t="s">
        <v>45</v>
      </c>
      <c r="D538" s="4" t="s">
        <v>16</v>
      </c>
      <c r="E538" s="4" t="s">
        <v>12</v>
      </c>
      <c r="F538" s="4" t="s">
        <v>25</v>
      </c>
      <c r="G538" s="4">
        <v>11</v>
      </c>
      <c r="H538" s="2">
        <v>5499</v>
      </c>
      <c r="I538" s="2">
        <v>60489</v>
      </c>
      <c r="J538" s="2" t="str">
        <f t="shared" si="16"/>
        <v>Oct</v>
      </c>
      <c r="K538" s="4">
        <f t="shared" si="17"/>
        <v>2024</v>
      </c>
    </row>
    <row r="539" spans="1:11" x14ac:dyDescent="0.3">
      <c r="A539" s="4" t="s">
        <v>581</v>
      </c>
      <c r="B539" s="8">
        <v>45594</v>
      </c>
      <c r="C539" s="4" t="s">
        <v>37</v>
      </c>
      <c r="D539" s="4" t="s">
        <v>16</v>
      </c>
      <c r="E539" s="4" t="s">
        <v>12</v>
      </c>
      <c r="F539" s="4" t="s">
        <v>47</v>
      </c>
      <c r="G539" s="4">
        <v>9</v>
      </c>
      <c r="H539" s="2">
        <v>899</v>
      </c>
      <c r="I539" s="2">
        <v>8091</v>
      </c>
      <c r="J539" s="2" t="str">
        <f t="shared" si="16"/>
        <v>Oct</v>
      </c>
      <c r="K539" s="4">
        <f t="shared" si="17"/>
        <v>2024</v>
      </c>
    </row>
    <row r="540" spans="1:11" x14ac:dyDescent="0.3">
      <c r="A540" s="4" t="s">
        <v>582</v>
      </c>
      <c r="B540" s="8">
        <v>45594</v>
      </c>
      <c r="C540" s="4" t="s">
        <v>15</v>
      </c>
      <c r="D540" s="4" t="s">
        <v>16</v>
      </c>
      <c r="E540" s="4" t="s">
        <v>17</v>
      </c>
      <c r="F540" s="4" t="s">
        <v>47</v>
      </c>
      <c r="G540" s="4">
        <v>1</v>
      </c>
      <c r="H540" s="2">
        <v>1999</v>
      </c>
      <c r="I540" s="2">
        <v>1999</v>
      </c>
      <c r="J540" s="2" t="str">
        <f t="shared" si="16"/>
        <v>Oct</v>
      </c>
      <c r="K540" s="4">
        <f t="shared" si="17"/>
        <v>2024</v>
      </c>
    </row>
    <row r="541" spans="1:11" x14ac:dyDescent="0.3">
      <c r="A541" s="4" t="s">
        <v>583</v>
      </c>
      <c r="B541" s="8">
        <v>45595</v>
      </c>
      <c r="C541" s="4" t="s">
        <v>15</v>
      </c>
      <c r="D541" s="4" t="s">
        <v>16</v>
      </c>
      <c r="E541" s="4" t="s">
        <v>24</v>
      </c>
      <c r="F541" s="4" t="s">
        <v>21</v>
      </c>
      <c r="G541" s="4">
        <v>3</v>
      </c>
      <c r="H541" s="2">
        <v>1999</v>
      </c>
      <c r="I541" s="2">
        <v>5997</v>
      </c>
      <c r="J541" s="2" t="str">
        <f t="shared" si="16"/>
        <v>Oct</v>
      </c>
      <c r="K541" s="4">
        <f t="shared" si="17"/>
        <v>2024</v>
      </c>
    </row>
    <row r="542" spans="1:11" x14ac:dyDescent="0.3">
      <c r="A542" s="4" t="s">
        <v>584</v>
      </c>
      <c r="B542" s="8">
        <v>45596</v>
      </c>
      <c r="C542" s="4" t="s">
        <v>57</v>
      </c>
      <c r="D542" s="4" t="s">
        <v>31</v>
      </c>
      <c r="E542" s="4" t="s">
        <v>12</v>
      </c>
      <c r="F542" s="4" t="s">
        <v>18</v>
      </c>
      <c r="G542" s="4">
        <v>10</v>
      </c>
      <c r="H542" s="2">
        <v>1299</v>
      </c>
      <c r="I542" s="2">
        <v>12990</v>
      </c>
      <c r="J542" s="2" t="str">
        <f t="shared" si="16"/>
        <v>Oct</v>
      </c>
      <c r="K542" s="4">
        <f t="shared" si="17"/>
        <v>2024</v>
      </c>
    </row>
    <row r="543" spans="1:11" x14ac:dyDescent="0.3">
      <c r="A543" s="4" t="s">
        <v>585</v>
      </c>
      <c r="B543" s="8">
        <v>45596</v>
      </c>
      <c r="C543" s="4" t="s">
        <v>34</v>
      </c>
      <c r="D543" s="4" t="s">
        <v>28</v>
      </c>
      <c r="E543" s="4" t="s">
        <v>35</v>
      </c>
      <c r="F543" s="4" t="s">
        <v>25</v>
      </c>
      <c r="G543" s="4">
        <v>12</v>
      </c>
      <c r="H543" s="2">
        <v>799</v>
      </c>
      <c r="I543" s="2">
        <v>9588</v>
      </c>
      <c r="J543" s="2" t="str">
        <f t="shared" si="16"/>
        <v>Oct</v>
      </c>
      <c r="K543" s="4">
        <f t="shared" si="17"/>
        <v>2024</v>
      </c>
    </row>
    <row r="544" spans="1:11" x14ac:dyDescent="0.3">
      <c r="A544" s="4" t="s">
        <v>586</v>
      </c>
      <c r="B544" s="8">
        <v>45596</v>
      </c>
      <c r="C544" s="4" t="s">
        <v>67</v>
      </c>
      <c r="D544" s="4" t="s">
        <v>11</v>
      </c>
      <c r="E544" s="4" t="s">
        <v>12</v>
      </c>
      <c r="F544" s="4" t="s">
        <v>32</v>
      </c>
      <c r="G544" s="4">
        <v>5</v>
      </c>
      <c r="H544" s="2">
        <v>349</v>
      </c>
      <c r="I544" s="2">
        <v>1745</v>
      </c>
      <c r="J544" s="2" t="str">
        <f t="shared" si="16"/>
        <v>Oct</v>
      </c>
      <c r="K544" s="4">
        <f t="shared" si="17"/>
        <v>2024</v>
      </c>
    </row>
    <row r="545" spans="1:11" x14ac:dyDescent="0.3">
      <c r="A545" s="4" t="s">
        <v>587</v>
      </c>
      <c r="B545" s="8">
        <v>45596</v>
      </c>
      <c r="C545" s="4" t="s">
        <v>34</v>
      </c>
      <c r="D545" s="4" t="s">
        <v>28</v>
      </c>
      <c r="E545" s="4" t="s">
        <v>12</v>
      </c>
      <c r="F545" s="4" t="s">
        <v>21</v>
      </c>
      <c r="G545" s="4">
        <v>3</v>
      </c>
      <c r="H545" s="2">
        <v>799</v>
      </c>
      <c r="I545" s="2">
        <v>2397</v>
      </c>
      <c r="J545" s="2" t="str">
        <f t="shared" si="16"/>
        <v>Oct</v>
      </c>
      <c r="K545" s="4">
        <f t="shared" si="17"/>
        <v>2024</v>
      </c>
    </row>
    <row r="546" spans="1:11" x14ac:dyDescent="0.3">
      <c r="A546" s="4" t="s">
        <v>588</v>
      </c>
      <c r="B546" s="8">
        <v>45597</v>
      </c>
      <c r="C546" s="4" t="s">
        <v>57</v>
      </c>
      <c r="D546" s="4" t="s">
        <v>31</v>
      </c>
      <c r="E546" s="4" t="s">
        <v>12</v>
      </c>
      <c r="F546" s="4" t="s">
        <v>13</v>
      </c>
      <c r="G546" s="4">
        <v>2</v>
      </c>
      <c r="H546" s="2">
        <v>1299</v>
      </c>
      <c r="I546" s="2">
        <v>2598</v>
      </c>
      <c r="J546" s="2" t="str">
        <f t="shared" si="16"/>
        <v>Nov</v>
      </c>
      <c r="K546" s="4">
        <f t="shared" si="17"/>
        <v>2024</v>
      </c>
    </row>
    <row r="547" spans="1:11" x14ac:dyDescent="0.3">
      <c r="A547" s="4" t="s">
        <v>589</v>
      </c>
      <c r="B547" s="8">
        <v>45597</v>
      </c>
      <c r="C547" s="4" t="s">
        <v>27</v>
      </c>
      <c r="D547" s="4" t="s">
        <v>28</v>
      </c>
      <c r="E547" s="4" t="s">
        <v>17</v>
      </c>
      <c r="F547" s="4" t="s">
        <v>32</v>
      </c>
      <c r="G547" s="4">
        <v>6</v>
      </c>
      <c r="H547" s="2">
        <v>3499</v>
      </c>
      <c r="I547" s="2">
        <v>20994</v>
      </c>
      <c r="J547" s="2" t="str">
        <f t="shared" si="16"/>
        <v>Nov</v>
      </c>
      <c r="K547" s="4">
        <f t="shared" si="17"/>
        <v>2024</v>
      </c>
    </row>
    <row r="548" spans="1:11" x14ac:dyDescent="0.3">
      <c r="A548" s="4" t="s">
        <v>590</v>
      </c>
      <c r="B548" s="8">
        <v>45597</v>
      </c>
      <c r="C548" s="4" t="s">
        <v>59</v>
      </c>
      <c r="D548" s="4" t="s">
        <v>41</v>
      </c>
      <c r="E548" s="4" t="s">
        <v>17</v>
      </c>
      <c r="F548" s="4" t="s">
        <v>25</v>
      </c>
      <c r="G548" s="4">
        <v>5</v>
      </c>
      <c r="H548" s="2">
        <v>1424.05</v>
      </c>
      <c r="I548" s="2">
        <v>7120.25</v>
      </c>
      <c r="J548" s="2" t="str">
        <f t="shared" si="16"/>
        <v>Nov</v>
      </c>
      <c r="K548" s="4">
        <f t="shared" si="17"/>
        <v>2024</v>
      </c>
    </row>
    <row r="549" spans="1:11" x14ac:dyDescent="0.3">
      <c r="A549" s="4" t="s">
        <v>591</v>
      </c>
      <c r="B549" s="8">
        <v>45599</v>
      </c>
      <c r="C549" s="4" t="s">
        <v>52</v>
      </c>
      <c r="D549" s="4" t="s">
        <v>31</v>
      </c>
      <c r="E549" s="4" t="s">
        <v>35</v>
      </c>
      <c r="F549" s="4" t="s">
        <v>47</v>
      </c>
      <c r="G549" s="4">
        <v>1</v>
      </c>
      <c r="H549" s="2">
        <v>3999</v>
      </c>
      <c r="I549" s="2">
        <v>3999</v>
      </c>
      <c r="J549" s="2" t="str">
        <f t="shared" si="16"/>
        <v>Nov</v>
      </c>
      <c r="K549" s="4">
        <f t="shared" si="17"/>
        <v>2024</v>
      </c>
    </row>
    <row r="550" spans="1:11" x14ac:dyDescent="0.3">
      <c r="A550" s="4" t="s">
        <v>592</v>
      </c>
      <c r="B550" s="8">
        <v>45600</v>
      </c>
      <c r="C550" s="4" t="s">
        <v>72</v>
      </c>
      <c r="D550" s="4" t="s">
        <v>16</v>
      </c>
      <c r="E550" s="4" t="s">
        <v>35</v>
      </c>
      <c r="F550" s="4" t="s">
        <v>21</v>
      </c>
      <c r="G550" s="4">
        <v>6</v>
      </c>
      <c r="H550" s="2">
        <v>1529.15</v>
      </c>
      <c r="I550" s="2">
        <v>9174.9</v>
      </c>
      <c r="J550" s="2" t="str">
        <f t="shared" si="16"/>
        <v>Nov</v>
      </c>
      <c r="K550" s="4">
        <f t="shared" si="17"/>
        <v>2024</v>
      </c>
    </row>
    <row r="551" spans="1:11" x14ac:dyDescent="0.3">
      <c r="A551" s="4" t="s">
        <v>593</v>
      </c>
      <c r="B551" s="8">
        <v>45600</v>
      </c>
      <c r="C551" s="4" t="s">
        <v>59</v>
      </c>
      <c r="D551" s="4" t="s">
        <v>41</v>
      </c>
      <c r="E551" s="4" t="s">
        <v>17</v>
      </c>
      <c r="F551" s="4" t="s">
        <v>47</v>
      </c>
      <c r="G551" s="4">
        <v>8</v>
      </c>
      <c r="H551" s="2">
        <v>1499</v>
      </c>
      <c r="I551" s="2">
        <v>11992</v>
      </c>
      <c r="J551" s="2" t="str">
        <f t="shared" si="16"/>
        <v>Nov</v>
      </c>
      <c r="K551" s="4">
        <f t="shared" si="17"/>
        <v>2024</v>
      </c>
    </row>
    <row r="552" spans="1:11" x14ac:dyDescent="0.3">
      <c r="A552" s="4" t="s">
        <v>594</v>
      </c>
      <c r="B552" s="8">
        <v>45601</v>
      </c>
      <c r="C552" s="4" t="s">
        <v>30</v>
      </c>
      <c r="D552" s="4" t="s">
        <v>31</v>
      </c>
      <c r="E552" s="4" t="s">
        <v>24</v>
      </c>
      <c r="F552" s="4" t="s">
        <v>47</v>
      </c>
      <c r="G552" s="4">
        <v>7</v>
      </c>
      <c r="H552" s="2">
        <v>4499</v>
      </c>
      <c r="I552" s="2">
        <v>31493</v>
      </c>
      <c r="J552" s="2" t="str">
        <f t="shared" si="16"/>
        <v>Nov</v>
      </c>
      <c r="K552" s="4">
        <f t="shared" si="17"/>
        <v>2024</v>
      </c>
    </row>
    <row r="553" spans="1:11" x14ac:dyDescent="0.3">
      <c r="A553" s="4" t="s">
        <v>595</v>
      </c>
      <c r="B553" s="8">
        <v>45602</v>
      </c>
      <c r="C553" s="4" t="s">
        <v>107</v>
      </c>
      <c r="D553" s="4" t="s">
        <v>31</v>
      </c>
      <c r="E553" s="4" t="s">
        <v>35</v>
      </c>
      <c r="F553" s="4" t="s">
        <v>32</v>
      </c>
      <c r="G553" s="4">
        <v>11</v>
      </c>
      <c r="H553" s="2">
        <v>2969.1</v>
      </c>
      <c r="I553" s="2">
        <v>32660.1</v>
      </c>
      <c r="J553" s="2" t="str">
        <f t="shared" si="16"/>
        <v>Nov</v>
      </c>
      <c r="K553" s="4">
        <f t="shared" si="17"/>
        <v>2024</v>
      </c>
    </row>
    <row r="554" spans="1:11" x14ac:dyDescent="0.3">
      <c r="A554" s="4" t="s">
        <v>596</v>
      </c>
      <c r="B554" s="8">
        <v>45602</v>
      </c>
      <c r="C554" s="4" t="s">
        <v>52</v>
      </c>
      <c r="D554" s="4" t="s">
        <v>31</v>
      </c>
      <c r="E554" s="4" t="s">
        <v>24</v>
      </c>
      <c r="F554" s="4" t="s">
        <v>13</v>
      </c>
      <c r="G554" s="4">
        <v>9</v>
      </c>
      <c r="H554" s="2">
        <v>3399.15</v>
      </c>
      <c r="I554" s="2">
        <v>30592.35</v>
      </c>
      <c r="J554" s="2" t="str">
        <f t="shared" si="16"/>
        <v>Nov</v>
      </c>
      <c r="K554" s="4">
        <f t="shared" si="17"/>
        <v>2024</v>
      </c>
    </row>
    <row r="555" spans="1:11" x14ac:dyDescent="0.3">
      <c r="A555" s="4" t="s">
        <v>597</v>
      </c>
      <c r="B555" s="8">
        <v>45603</v>
      </c>
      <c r="C555" s="4" t="s">
        <v>23</v>
      </c>
      <c r="D555" s="4" t="s">
        <v>16</v>
      </c>
      <c r="E555" s="4" t="s">
        <v>24</v>
      </c>
      <c r="F555" s="4" t="s">
        <v>21</v>
      </c>
      <c r="G555" s="4">
        <v>2</v>
      </c>
      <c r="H555" s="2">
        <v>2124.15</v>
      </c>
      <c r="I555" s="2">
        <v>4248.3</v>
      </c>
      <c r="J555" s="2" t="str">
        <f t="shared" si="16"/>
        <v>Nov</v>
      </c>
      <c r="K555" s="4">
        <f t="shared" si="17"/>
        <v>2024</v>
      </c>
    </row>
    <row r="556" spans="1:11" x14ac:dyDescent="0.3">
      <c r="A556" s="4" t="s">
        <v>598</v>
      </c>
      <c r="B556" s="8">
        <v>45603</v>
      </c>
      <c r="C556" s="4" t="s">
        <v>67</v>
      </c>
      <c r="D556" s="4" t="s">
        <v>11</v>
      </c>
      <c r="E556" s="4" t="s">
        <v>12</v>
      </c>
      <c r="F556" s="4" t="s">
        <v>25</v>
      </c>
      <c r="G556" s="4">
        <v>3</v>
      </c>
      <c r="H556" s="2">
        <v>349</v>
      </c>
      <c r="I556" s="2">
        <v>1047</v>
      </c>
      <c r="J556" s="2" t="str">
        <f t="shared" si="16"/>
        <v>Nov</v>
      </c>
      <c r="K556" s="4">
        <f t="shared" si="17"/>
        <v>2024</v>
      </c>
    </row>
    <row r="557" spans="1:11" x14ac:dyDescent="0.3">
      <c r="A557" s="4" t="s">
        <v>599</v>
      </c>
      <c r="B557" s="8">
        <v>45604</v>
      </c>
      <c r="C557" s="4" t="s">
        <v>15</v>
      </c>
      <c r="D557" s="4" t="s">
        <v>16</v>
      </c>
      <c r="E557" s="4" t="s">
        <v>24</v>
      </c>
      <c r="F557" s="4" t="s">
        <v>13</v>
      </c>
      <c r="G557" s="4">
        <v>7</v>
      </c>
      <c r="H557" s="2">
        <v>1999</v>
      </c>
      <c r="I557" s="2">
        <v>13993</v>
      </c>
      <c r="J557" s="2" t="str">
        <f t="shared" si="16"/>
        <v>Nov</v>
      </c>
      <c r="K557" s="4">
        <f t="shared" si="17"/>
        <v>2024</v>
      </c>
    </row>
    <row r="558" spans="1:11" x14ac:dyDescent="0.3">
      <c r="A558" s="4" t="s">
        <v>600</v>
      </c>
      <c r="B558" s="8">
        <v>45604</v>
      </c>
      <c r="C558" s="4" t="s">
        <v>107</v>
      </c>
      <c r="D558" s="4" t="s">
        <v>31</v>
      </c>
      <c r="E558" s="4" t="s">
        <v>24</v>
      </c>
      <c r="F558" s="4" t="s">
        <v>47</v>
      </c>
      <c r="G558" s="4">
        <v>8</v>
      </c>
      <c r="H558" s="2">
        <v>3299</v>
      </c>
      <c r="I558" s="2">
        <v>26392</v>
      </c>
      <c r="J558" s="2" t="str">
        <f t="shared" si="16"/>
        <v>Nov</v>
      </c>
      <c r="K558" s="4">
        <f t="shared" si="17"/>
        <v>2024</v>
      </c>
    </row>
    <row r="559" spans="1:11" x14ac:dyDescent="0.3">
      <c r="A559" s="4" t="s">
        <v>601</v>
      </c>
      <c r="B559" s="8">
        <v>45605</v>
      </c>
      <c r="C559" s="4" t="s">
        <v>40</v>
      </c>
      <c r="D559" s="4" t="s">
        <v>41</v>
      </c>
      <c r="E559" s="4" t="s">
        <v>35</v>
      </c>
      <c r="F559" s="4" t="s">
        <v>21</v>
      </c>
      <c r="G559" s="4">
        <v>1</v>
      </c>
      <c r="H559" s="2">
        <v>2199</v>
      </c>
      <c r="I559" s="2">
        <v>2199</v>
      </c>
      <c r="J559" s="2" t="str">
        <f t="shared" si="16"/>
        <v>Nov</v>
      </c>
      <c r="K559" s="4">
        <f t="shared" si="17"/>
        <v>2024</v>
      </c>
    </row>
    <row r="560" spans="1:11" x14ac:dyDescent="0.3">
      <c r="A560" s="4" t="s">
        <v>602</v>
      </c>
      <c r="B560" s="8">
        <v>45605</v>
      </c>
      <c r="C560" s="4" t="s">
        <v>23</v>
      </c>
      <c r="D560" s="4" t="s">
        <v>16</v>
      </c>
      <c r="E560" s="4" t="s">
        <v>35</v>
      </c>
      <c r="F560" s="4" t="s">
        <v>47</v>
      </c>
      <c r="G560" s="4">
        <v>10</v>
      </c>
      <c r="H560" s="2">
        <v>2374.0500000000002</v>
      </c>
      <c r="I560" s="2">
        <v>23740.5</v>
      </c>
      <c r="J560" s="2" t="str">
        <f t="shared" si="16"/>
        <v>Nov</v>
      </c>
      <c r="K560" s="4">
        <f t="shared" si="17"/>
        <v>2024</v>
      </c>
    </row>
    <row r="561" spans="1:11" x14ac:dyDescent="0.3">
      <c r="A561" s="4" t="s">
        <v>603</v>
      </c>
      <c r="B561" s="8">
        <v>45605</v>
      </c>
      <c r="C561" s="4" t="s">
        <v>57</v>
      </c>
      <c r="D561" s="4" t="s">
        <v>31</v>
      </c>
      <c r="E561" s="4" t="s">
        <v>24</v>
      </c>
      <c r="F561" s="4" t="s">
        <v>18</v>
      </c>
      <c r="G561" s="4">
        <v>8</v>
      </c>
      <c r="H561" s="2">
        <v>1299</v>
      </c>
      <c r="I561" s="2">
        <v>10392</v>
      </c>
      <c r="J561" s="2" t="str">
        <f t="shared" si="16"/>
        <v>Nov</v>
      </c>
      <c r="K561" s="4">
        <f t="shared" si="17"/>
        <v>2024</v>
      </c>
    </row>
    <row r="562" spans="1:11" x14ac:dyDescent="0.3">
      <c r="A562" s="4" t="s">
        <v>604</v>
      </c>
      <c r="B562" s="8">
        <v>45605</v>
      </c>
      <c r="C562" s="4" t="s">
        <v>15</v>
      </c>
      <c r="D562" s="4" t="s">
        <v>16</v>
      </c>
      <c r="E562" s="4" t="s">
        <v>24</v>
      </c>
      <c r="F562" s="4" t="s">
        <v>25</v>
      </c>
      <c r="G562" s="4">
        <v>2</v>
      </c>
      <c r="H562" s="2">
        <v>1999</v>
      </c>
      <c r="I562" s="2">
        <v>3998</v>
      </c>
      <c r="J562" s="2" t="str">
        <f t="shared" si="16"/>
        <v>Nov</v>
      </c>
      <c r="K562" s="4">
        <f t="shared" si="17"/>
        <v>2024</v>
      </c>
    </row>
    <row r="563" spans="1:11" x14ac:dyDescent="0.3">
      <c r="A563" s="4" t="s">
        <v>605</v>
      </c>
      <c r="B563" s="8">
        <v>45606</v>
      </c>
      <c r="C563" s="4" t="s">
        <v>64</v>
      </c>
      <c r="D563" s="4" t="s">
        <v>41</v>
      </c>
      <c r="E563" s="4" t="s">
        <v>12</v>
      </c>
      <c r="F563" s="4" t="s">
        <v>18</v>
      </c>
      <c r="G563" s="4">
        <v>1</v>
      </c>
      <c r="H563" s="2">
        <v>1799</v>
      </c>
      <c r="I563" s="2">
        <v>1799</v>
      </c>
      <c r="J563" s="2" t="str">
        <f t="shared" si="16"/>
        <v>Nov</v>
      </c>
      <c r="K563" s="4">
        <f t="shared" si="17"/>
        <v>2024</v>
      </c>
    </row>
    <row r="564" spans="1:11" x14ac:dyDescent="0.3">
      <c r="A564" s="4" t="s">
        <v>606</v>
      </c>
      <c r="B564" s="8">
        <v>45606</v>
      </c>
      <c r="C564" s="4" t="s">
        <v>27</v>
      </c>
      <c r="D564" s="4" t="s">
        <v>28</v>
      </c>
      <c r="E564" s="4" t="s">
        <v>12</v>
      </c>
      <c r="F564" s="4" t="s">
        <v>18</v>
      </c>
      <c r="G564" s="4">
        <v>3</v>
      </c>
      <c r="H564" s="2">
        <v>3499</v>
      </c>
      <c r="I564" s="2">
        <v>10497</v>
      </c>
      <c r="J564" s="2" t="str">
        <f t="shared" si="16"/>
        <v>Nov</v>
      </c>
      <c r="K564" s="4">
        <f t="shared" si="17"/>
        <v>2024</v>
      </c>
    </row>
    <row r="565" spans="1:11" x14ac:dyDescent="0.3">
      <c r="A565" s="4" t="s">
        <v>607</v>
      </c>
      <c r="B565" s="8">
        <v>45607</v>
      </c>
      <c r="C565" s="4" t="s">
        <v>37</v>
      </c>
      <c r="D565" s="4" t="s">
        <v>16</v>
      </c>
      <c r="E565" s="4" t="s">
        <v>12</v>
      </c>
      <c r="F565" s="4" t="s">
        <v>25</v>
      </c>
      <c r="G565" s="4">
        <v>9</v>
      </c>
      <c r="H565" s="2">
        <v>899</v>
      </c>
      <c r="I565" s="2">
        <v>8091</v>
      </c>
      <c r="J565" s="2" t="str">
        <f t="shared" si="16"/>
        <v>Nov</v>
      </c>
      <c r="K565" s="4">
        <f t="shared" si="17"/>
        <v>2024</v>
      </c>
    </row>
    <row r="566" spans="1:11" x14ac:dyDescent="0.3">
      <c r="A566" s="4" t="s">
        <v>608</v>
      </c>
      <c r="B566" s="8">
        <v>45607</v>
      </c>
      <c r="C566" s="4" t="s">
        <v>107</v>
      </c>
      <c r="D566" s="4" t="s">
        <v>31</v>
      </c>
      <c r="E566" s="4" t="s">
        <v>24</v>
      </c>
      <c r="F566" s="4" t="s">
        <v>13</v>
      </c>
      <c r="G566" s="4">
        <v>9</v>
      </c>
      <c r="H566" s="2">
        <v>3299</v>
      </c>
      <c r="I566" s="2">
        <v>29691</v>
      </c>
      <c r="J566" s="2" t="str">
        <f t="shared" si="16"/>
        <v>Nov</v>
      </c>
      <c r="K566" s="4">
        <f t="shared" si="17"/>
        <v>2024</v>
      </c>
    </row>
    <row r="567" spans="1:11" x14ac:dyDescent="0.3">
      <c r="A567" s="4" t="s">
        <v>609</v>
      </c>
      <c r="B567" s="8">
        <v>45607</v>
      </c>
      <c r="C567" s="4" t="s">
        <v>27</v>
      </c>
      <c r="D567" s="4" t="s">
        <v>28</v>
      </c>
      <c r="E567" s="4" t="s">
        <v>17</v>
      </c>
      <c r="F567" s="4" t="s">
        <v>18</v>
      </c>
      <c r="G567" s="4">
        <v>2</v>
      </c>
      <c r="H567" s="2">
        <v>3499</v>
      </c>
      <c r="I567" s="2">
        <v>6998</v>
      </c>
      <c r="J567" s="2" t="str">
        <f t="shared" si="16"/>
        <v>Nov</v>
      </c>
      <c r="K567" s="4">
        <f t="shared" si="17"/>
        <v>2024</v>
      </c>
    </row>
    <row r="568" spans="1:11" x14ac:dyDescent="0.3">
      <c r="A568" s="4" t="s">
        <v>610</v>
      </c>
      <c r="B568" s="8">
        <v>45607</v>
      </c>
      <c r="C568" s="4" t="s">
        <v>15</v>
      </c>
      <c r="D568" s="4" t="s">
        <v>16</v>
      </c>
      <c r="E568" s="4" t="s">
        <v>24</v>
      </c>
      <c r="F568" s="4" t="s">
        <v>18</v>
      </c>
      <c r="G568" s="4">
        <v>7</v>
      </c>
      <c r="H568" s="2">
        <v>1999</v>
      </c>
      <c r="I568" s="2">
        <v>13993</v>
      </c>
      <c r="J568" s="2" t="str">
        <f t="shared" si="16"/>
        <v>Nov</v>
      </c>
      <c r="K568" s="4">
        <f t="shared" si="17"/>
        <v>2024</v>
      </c>
    </row>
    <row r="569" spans="1:11" x14ac:dyDescent="0.3">
      <c r="A569" s="4" t="s">
        <v>611</v>
      </c>
      <c r="B569" s="8">
        <v>45608</v>
      </c>
      <c r="C569" s="4" t="s">
        <v>86</v>
      </c>
      <c r="D569" s="4" t="s">
        <v>28</v>
      </c>
      <c r="E569" s="4" t="s">
        <v>24</v>
      </c>
      <c r="F569" s="4" t="s">
        <v>13</v>
      </c>
      <c r="G569" s="4">
        <v>1</v>
      </c>
      <c r="H569" s="2">
        <v>764.15</v>
      </c>
      <c r="I569" s="2">
        <v>764.15</v>
      </c>
      <c r="J569" s="2" t="str">
        <f t="shared" si="16"/>
        <v>Nov</v>
      </c>
      <c r="K569" s="4">
        <f t="shared" si="17"/>
        <v>2024</v>
      </c>
    </row>
    <row r="570" spans="1:11" x14ac:dyDescent="0.3">
      <c r="A570" s="4" t="s">
        <v>612</v>
      </c>
      <c r="B570" s="8">
        <v>45608</v>
      </c>
      <c r="C570" s="4" t="s">
        <v>70</v>
      </c>
      <c r="D570" s="4" t="s">
        <v>28</v>
      </c>
      <c r="E570" s="4" t="s">
        <v>17</v>
      </c>
      <c r="F570" s="4" t="s">
        <v>21</v>
      </c>
      <c r="G570" s="4">
        <v>9</v>
      </c>
      <c r="H570" s="2">
        <v>1199</v>
      </c>
      <c r="I570" s="2">
        <v>10791</v>
      </c>
      <c r="J570" s="2" t="str">
        <f t="shared" si="16"/>
        <v>Nov</v>
      </c>
      <c r="K570" s="4">
        <f t="shared" si="17"/>
        <v>2024</v>
      </c>
    </row>
    <row r="571" spans="1:11" x14ac:dyDescent="0.3">
      <c r="A571" s="4" t="s">
        <v>613</v>
      </c>
      <c r="B571" s="8">
        <v>45609</v>
      </c>
      <c r="C571" s="4" t="s">
        <v>59</v>
      </c>
      <c r="D571" s="4" t="s">
        <v>41</v>
      </c>
      <c r="E571" s="4" t="s">
        <v>35</v>
      </c>
      <c r="F571" s="4" t="s">
        <v>25</v>
      </c>
      <c r="G571" s="4">
        <v>9</v>
      </c>
      <c r="H571" s="2">
        <v>1499</v>
      </c>
      <c r="I571" s="2">
        <v>13491</v>
      </c>
      <c r="J571" s="2" t="str">
        <f t="shared" si="16"/>
        <v>Nov</v>
      </c>
      <c r="K571" s="4">
        <f t="shared" si="17"/>
        <v>2024</v>
      </c>
    </row>
    <row r="572" spans="1:11" x14ac:dyDescent="0.3">
      <c r="A572" s="4" t="s">
        <v>614</v>
      </c>
      <c r="B572" s="8">
        <v>45609</v>
      </c>
      <c r="C572" s="4" t="s">
        <v>86</v>
      </c>
      <c r="D572" s="4" t="s">
        <v>28</v>
      </c>
      <c r="E572" s="4" t="s">
        <v>17</v>
      </c>
      <c r="F572" s="4" t="s">
        <v>32</v>
      </c>
      <c r="G572" s="4">
        <v>1</v>
      </c>
      <c r="H572" s="2">
        <v>899</v>
      </c>
      <c r="I572" s="2">
        <v>899</v>
      </c>
      <c r="J572" s="2" t="str">
        <f t="shared" si="16"/>
        <v>Nov</v>
      </c>
      <c r="K572" s="4">
        <f t="shared" si="17"/>
        <v>2024</v>
      </c>
    </row>
    <row r="573" spans="1:11" x14ac:dyDescent="0.3">
      <c r="A573" s="4" t="s">
        <v>615</v>
      </c>
      <c r="B573" s="8">
        <v>45609</v>
      </c>
      <c r="C573" s="4" t="s">
        <v>20</v>
      </c>
      <c r="D573" s="4" t="s">
        <v>11</v>
      </c>
      <c r="E573" s="4" t="s">
        <v>12</v>
      </c>
      <c r="F573" s="4" t="s">
        <v>13</v>
      </c>
      <c r="G573" s="4">
        <v>8</v>
      </c>
      <c r="H573" s="2">
        <v>399</v>
      </c>
      <c r="I573" s="2">
        <v>3192</v>
      </c>
      <c r="J573" s="2" t="str">
        <f t="shared" si="16"/>
        <v>Nov</v>
      </c>
      <c r="K573" s="4">
        <f t="shared" si="17"/>
        <v>2024</v>
      </c>
    </row>
    <row r="574" spans="1:11" x14ac:dyDescent="0.3">
      <c r="A574" s="4" t="s">
        <v>616</v>
      </c>
      <c r="B574" s="8">
        <v>45610</v>
      </c>
      <c r="C574" s="4" t="s">
        <v>45</v>
      </c>
      <c r="D574" s="4" t="s">
        <v>16</v>
      </c>
      <c r="E574" s="4" t="s">
        <v>24</v>
      </c>
      <c r="F574" s="4" t="s">
        <v>32</v>
      </c>
      <c r="G574" s="4">
        <v>12</v>
      </c>
      <c r="H574" s="2">
        <v>5499</v>
      </c>
      <c r="I574" s="2">
        <v>65988</v>
      </c>
      <c r="J574" s="2" t="str">
        <f t="shared" si="16"/>
        <v>Nov</v>
      </c>
      <c r="K574" s="4">
        <f t="shared" si="17"/>
        <v>2024</v>
      </c>
    </row>
    <row r="575" spans="1:11" x14ac:dyDescent="0.3">
      <c r="A575" s="4" t="s">
        <v>617</v>
      </c>
      <c r="B575" s="8">
        <v>45611</v>
      </c>
      <c r="C575" s="4" t="s">
        <v>50</v>
      </c>
      <c r="D575" s="4" t="s">
        <v>41</v>
      </c>
      <c r="E575" s="4" t="s">
        <v>24</v>
      </c>
      <c r="F575" s="4" t="s">
        <v>25</v>
      </c>
      <c r="G575" s="4">
        <v>1</v>
      </c>
      <c r="H575" s="2">
        <v>949.05</v>
      </c>
      <c r="I575" s="2">
        <v>949.05</v>
      </c>
      <c r="J575" s="2" t="str">
        <f t="shared" si="16"/>
        <v>Nov</v>
      </c>
      <c r="K575" s="4">
        <f t="shared" si="17"/>
        <v>2024</v>
      </c>
    </row>
    <row r="576" spans="1:11" x14ac:dyDescent="0.3">
      <c r="A576" s="4" t="s">
        <v>618</v>
      </c>
      <c r="B576" s="8">
        <v>45611</v>
      </c>
      <c r="C576" s="4" t="s">
        <v>20</v>
      </c>
      <c r="D576" s="4" t="s">
        <v>11</v>
      </c>
      <c r="E576" s="4" t="s">
        <v>12</v>
      </c>
      <c r="F576" s="4" t="s">
        <v>21</v>
      </c>
      <c r="G576" s="4">
        <v>4</v>
      </c>
      <c r="H576" s="2">
        <v>359.1</v>
      </c>
      <c r="I576" s="2">
        <v>1436.4</v>
      </c>
      <c r="J576" s="2" t="str">
        <f t="shared" si="16"/>
        <v>Nov</v>
      </c>
      <c r="K576" s="4">
        <f t="shared" si="17"/>
        <v>2024</v>
      </c>
    </row>
    <row r="577" spans="1:11" x14ac:dyDescent="0.3">
      <c r="A577" s="4" t="s">
        <v>619</v>
      </c>
      <c r="B577" s="8">
        <v>45611</v>
      </c>
      <c r="C577" s="4" t="s">
        <v>40</v>
      </c>
      <c r="D577" s="4" t="s">
        <v>41</v>
      </c>
      <c r="E577" s="4" t="s">
        <v>17</v>
      </c>
      <c r="F577" s="4" t="s">
        <v>13</v>
      </c>
      <c r="G577" s="4">
        <v>4</v>
      </c>
      <c r="H577" s="2">
        <v>1979.1</v>
      </c>
      <c r="I577" s="2">
        <v>7916.4</v>
      </c>
      <c r="J577" s="2" t="str">
        <f t="shared" si="16"/>
        <v>Nov</v>
      </c>
      <c r="K577" s="4">
        <f t="shared" si="17"/>
        <v>2024</v>
      </c>
    </row>
    <row r="578" spans="1:11" x14ac:dyDescent="0.3">
      <c r="A578" s="4" t="s">
        <v>620</v>
      </c>
      <c r="B578" s="8">
        <v>45612</v>
      </c>
      <c r="C578" s="4" t="s">
        <v>57</v>
      </c>
      <c r="D578" s="4" t="s">
        <v>31</v>
      </c>
      <c r="E578" s="4" t="s">
        <v>35</v>
      </c>
      <c r="F578" s="4" t="s">
        <v>25</v>
      </c>
      <c r="G578" s="4">
        <v>8</v>
      </c>
      <c r="H578" s="2">
        <v>1299</v>
      </c>
      <c r="I578" s="2">
        <v>10392</v>
      </c>
      <c r="J578" s="2" t="str">
        <f t="shared" ref="J578:J641" si="18">TEXT(B578,"mmm")</f>
        <v>Nov</v>
      </c>
      <c r="K578" s="4">
        <f t="shared" ref="K578:K641" si="19">YEAR(B578)</f>
        <v>2024</v>
      </c>
    </row>
    <row r="579" spans="1:11" x14ac:dyDescent="0.3">
      <c r="A579" s="4" t="s">
        <v>621</v>
      </c>
      <c r="B579" s="8">
        <v>45613</v>
      </c>
      <c r="C579" s="4" t="s">
        <v>50</v>
      </c>
      <c r="D579" s="4" t="s">
        <v>41</v>
      </c>
      <c r="E579" s="4" t="s">
        <v>12</v>
      </c>
      <c r="F579" s="4" t="s">
        <v>47</v>
      </c>
      <c r="G579" s="4">
        <v>1</v>
      </c>
      <c r="H579" s="2">
        <v>999</v>
      </c>
      <c r="I579" s="2">
        <v>999</v>
      </c>
      <c r="J579" s="2" t="str">
        <f t="shared" si="18"/>
        <v>Nov</v>
      </c>
      <c r="K579" s="4">
        <f t="shared" si="19"/>
        <v>2024</v>
      </c>
    </row>
    <row r="580" spans="1:11" x14ac:dyDescent="0.3">
      <c r="A580" s="4" t="s">
        <v>622</v>
      </c>
      <c r="B580" s="8">
        <v>45615</v>
      </c>
      <c r="C580" s="4" t="s">
        <v>15</v>
      </c>
      <c r="D580" s="4" t="s">
        <v>16</v>
      </c>
      <c r="E580" s="4" t="s">
        <v>17</v>
      </c>
      <c r="F580" s="4" t="s">
        <v>18</v>
      </c>
      <c r="G580" s="4">
        <v>8</v>
      </c>
      <c r="H580" s="2">
        <v>1999</v>
      </c>
      <c r="I580" s="2">
        <v>15992</v>
      </c>
      <c r="J580" s="2" t="str">
        <f t="shared" si="18"/>
        <v>Nov</v>
      </c>
      <c r="K580" s="4">
        <f t="shared" si="19"/>
        <v>2024</v>
      </c>
    </row>
    <row r="581" spans="1:11" x14ac:dyDescent="0.3">
      <c r="A581" s="4" t="s">
        <v>623</v>
      </c>
      <c r="B581" s="8">
        <v>45615</v>
      </c>
      <c r="C581" s="4" t="s">
        <v>37</v>
      </c>
      <c r="D581" s="4" t="s">
        <v>16</v>
      </c>
      <c r="E581" s="4" t="s">
        <v>17</v>
      </c>
      <c r="F581" s="4" t="s">
        <v>47</v>
      </c>
      <c r="G581" s="4">
        <v>1</v>
      </c>
      <c r="H581" s="2">
        <v>899</v>
      </c>
      <c r="I581" s="2">
        <v>899</v>
      </c>
      <c r="J581" s="2" t="str">
        <f t="shared" si="18"/>
        <v>Nov</v>
      </c>
      <c r="K581" s="4">
        <f t="shared" si="19"/>
        <v>2024</v>
      </c>
    </row>
    <row r="582" spans="1:11" x14ac:dyDescent="0.3">
      <c r="A582" s="4" t="s">
        <v>624</v>
      </c>
      <c r="B582" s="8">
        <v>45617</v>
      </c>
      <c r="C582" s="4" t="s">
        <v>52</v>
      </c>
      <c r="D582" s="4" t="s">
        <v>31</v>
      </c>
      <c r="E582" s="4" t="s">
        <v>24</v>
      </c>
      <c r="F582" s="4" t="s">
        <v>25</v>
      </c>
      <c r="G582" s="4">
        <v>4</v>
      </c>
      <c r="H582" s="2">
        <v>3799.05</v>
      </c>
      <c r="I582" s="2">
        <v>15196.2</v>
      </c>
      <c r="J582" s="2" t="str">
        <f t="shared" si="18"/>
        <v>Nov</v>
      </c>
      <c r="K582" s="4">
        <f t="shared" si="19"/>
        <v>2024</v>
      </c>
    </row>
    <row r="583" spans="1:11" x14ac:dyDescent="0.3">
      <c r="A583" s="4" t="s">
        <v>625</v>
      </c>
      <c r="B583" s="8">
        <v>45617</v>
      </c>
      <c r="C583" s="4" t="s">
        <v>10</v>
      </c>
      <c r="D583" s="4" t="s">
        <v>11</v>
      </c>
      <c r="E583" s="4" t="s">
        <v>35</v>
      </c>
      <c r="F583" s="4" t="s">
        <v>25</v>
      </c>
      <c r="G583" s="4">
        <v>4</v>
      </c>
      <c r="H583" s="2">
        <v>299</v>
      </c>
      <c r="I583" s="2">
        <v>1196</v>
      </c>
      <c r="J583" s="2" t="str">
        <f t="shared" si="18"/>
        <v>Nov</v>
      </c>
      <c r="K583" s="4">
        <f t="shared" si="19"/>
        <v>2024</v>
      </c>
    </row>
    <row r="584" spans="1:11" x14ac:dyDescent="0.3">
      <c r="A584" s="4" t="s">
        <v>626</v>
      </c>
      <c r="B584" s="8">
        <v>45618</v>
      </c>
      <c r="C584" s="4" t="s">
        <v>15</v>
      </c>
      <c r="D584" s="4" t="s">
        <v>16</v>
      </c>
      <c r="E584" s="4" t="s">
        <v>35</v>
      </c>
      <c r="F584" s="4" t="s">
        <v>25</v>
      </c>
      <c r="G584" s="4">
        <v>4</v>
      </c>
      <c r="H584" s="2">
        <v>1999</v>
      </c>
      <c r="I584" s="2">
        <v>7996</v>
      </c>
      <c r="J584" s="2" t="str">
        <f t="shared" si="18"/>
        <v>Nov</v>
      </c>
      <c r="K584" s="4">
        <f t="shared" si="19"/>
        <v>2024</v>
      </c>
    </row>
    <row r="585" spans="1:11" x14ac:dyDescent="0.3">
      <c r="A585" s="4" t="s">
        <v>627</v>
      </c>
      <c r="B585" s="8">
        <v>45620</v>
      </c>
      <c r="C585" s="4" t="s">
        <v>72</v>
      </c>
      <c r="D585" s="4" t="s">
        <v>16</v>
      </c>
      <c r="E585" s="4" t="s">
        <v>35</v>
      </c>
      <c r="F585" s="4" t="s">
        <v>13</v>
      </c>
      <c r="G585" s="4">
        <v>1</v>
      </c>
      <c r="H585" s="2">
        <v>1799</v>
      </c>
      <c r="I585" s="2">
        <v>1799</v>
      </c>
      <c r="J585" s="2" t="str">
        <f t="shared" si="18"/>
        <v>Nov</v>
      </c>
      <c r="K585" s="4">
        <f t="shared" si="19"/>
        <v>2024</v>
      </c>
    </row>
    <row r="586" spans="1:11" x14ac:dyDescent="0.3">
      <c r="A586" s="4" t="s">
        <v>628</v>
      </c>
      <c r="B586" s="8">
        <v>45620</v>
      </c>
      <c r="C586" s="4" t="s">
        <v>34</v>
      </c>
      <c r="D586" s="4" t="s">
        <v>28</v>
      </c>
      <c r="E586" s="4" t="s">
        <v>24</v>
      </c>
      <c r="F586" s="4" t="s">
        <v>21</v>
      </c>
      <c r="G586" s="4">
        <v>11</v>
      </c>
      <c r="H586" s="2">
        <v>799</v>
      </c>
      <c r="I586" s="2">
        <v>8789</v>
      </c>
      <c r="J586" s="2" t="str">
        <f t="shared" si="18"/>
        <v>Nov</v>
      </c>
      <c r="K586" s="4">
        <f t="shared" si="19"/>
        <v>2024</v>
      </c>
    </row>
    <row r="587" spans="1:11" x14ac:dyDescent="0.3">
      <c r="A587" s="4" t="s">
        <v>629</v>
      </c>
      <c r="B587" s="8">
        <v>45621</v>
      </c>
      <c r="C587" s="4" t="s">
        <v>34</v>
      </c>
      <c r="D587" s="4" t="s">
        <v>28</v>
      </c>
      <c r="E587" s="4" t="s">
        <v>24</v>
      </c>
      <c r="F587" s="4" t="s">
        <v>32</v>
      </c>
      <c r="G587" s="4">
        <v>3</v>
      </c>
      <c r="H587" s="2">
        <v>799</v>
      </c>
      <c r="I587" s="2">
        <v>2397</v>
      </c>
      <c r="J587" s="2" t="str">
        <f t="shared" si="18"/>
        <v>Nov</v>
      </c>
      <c r="K587" s="4">
        <f t="shared" si="19"/>
        <v>2024</v>
      </c>
    </row>
    <row r="588" spans="1:11" x14ac:dyDescent="0.3">
      <c r="A588" s="4" t="s">
        <v>630</v>
      </c>
      <c r="B588" s="8">
        <v>45621</v>
      </c>
      <c r="C588" s="4" t="s">
        <v>72</v>
      </c>
      <c r="D588" s="4" t="s">
        <v>16</v>
      </c>
      <c r="E588" s="4" t="s">
        <v>12</v>
      </c>
      <c r="F588" s="4" t="s">
        <v>13</v>
      </c>
      <c r="G588" s="4">
        <v>8</v>
      </c>
      <c r="H588" s="2">
        <v>1799</v>
      </c>
      <c r="I588" s="2">
        <v>14392</v>
      </c>
      <c r="J588" s="2" t="str">
        <f t="shared" si="18"/>
        <v>Nov</v>
      </c>
      <c r="K588" s="4">
        <f t="shared" si="19"/>
        <v>2024</v>
      </c>
    </row>
    <row r="589" spans="1:11" x14ac:dyDescent="0.3">
      <c r="A589" s="4" t="s">
        <v>631</v>
      </c>
      <c r="B589" s="8">
        <v>45622</v>
      </c>
      <c r="C589" s="4" t="s">
        <v>40</v>
      </c>
      <c r="D589" s="4" t="s">
        <v>41</v>
      </c>
      <c r="E589" s="4" t="s">
        <v>17</v>
      </c>
      <c r="F589" s="4" t="s">
        <v>21</v>
      </c>
      <c r="G589" s="4">
        <v>5</v>
      </c>
      <c r="H589" s="2">
        <v>2089.0500000000002</v>
      </c>
      <c r="I589" s="2">
        <v>10445.25</v>
      </c>
      <c r="J589" s="2" t="str">
        <f t="shared" si="18"/>
        <v>Nov</v>
      </c>
      <c r="K589" s="4">
        <f t="shared" si="19"/>
        <v>2024</v>
      </c>
    </row>
    <row r="590" spans="1:11" x14ac:dyDescent="0.3">
      <c r="A590" s="4" t="s">
        <v>632</v>
      </c>
      <c r="B590" s="8">
        <v>45622</v>
      </c>
      <c r="C590" s="4" t="s">
        <v>72</v>
      </c>
      <c r="D590" s="4" t="s">
        <v>16</v>
      </c>
      <c r="E590" s="4" t="s">
        <v>24</v>
      </c>
      <c r="F590" s="4" t="s">
        <v>25</v>
      </c>
      <c r="G590" s="4">
        <v>1</v>
      </c>
      <c r="H590" s="2">
        <v>1619.1</v>
      </c>
      <c r="I590" s="2">
        <v>1619.1</v>
      </c>
      <c r="J590" s="2" t="str">
        <f t="shared" si="18"/>
        <v>Nov</v>
      </c>
      <c r="K590" s="4">
        <f t="shared" si="19"/>
        <v>2024</v>
      </c>
    </row>
    <row r="591" spans="1:11" x14ac:dyDescent="0.3">
      <c r="A591" s="4" t="s">
        <v>633</v>
      </c>
      <c r="B591" s="8">
        <v>45625</v>
      </c>
      <c r="C591" s="4" t="s">
        <v>72</v>
      </c>
      <c r="D591" s="4" t="s">
        <v>16</v>
      </c>
      <c r="E591" s="4" t="s">
        <v>24</v>
      </c>
      <c r="F591" s="4" t="s">
        <v>32</v>
      </c>
      <c r="G591" s="4">
        <v>4</v>
      </c>
      <c r="H591" s="2">
        <v>1799</v>
      </c>
      <c r="I591" s="2">
        <v>7196</v>
      </c>
      <c r="J591" s="2" t="str">
        <f t="shared" si="18"/>
        <v>Nov</v>
      </c>
      <c r="K591" s="4">
        <f t="shared" si="19"/>
        <v>2024</v>
      </c>
    </row>
    <row r="592" spans="1:11" x14ac:dyDescent="0.3">
      <c r="A592" s="4" t="s">
        <v>634</v>
      </c>
      <c r="B592" s="8">
        <v>45625</v>
      </c>
      <c r="C592" s="4" t="s">
        <v>52</v>
      </c>
      <c r="D592" s="4" t="s">
        <v>31</v>
      </c>
      <c r="E592" s="4" t="s">
        <v>24</v>
      </c>
      <c r="F592" s="4" t="s">
        <v>25</v>
      </c>
      <c r="G592" s="4">
        <v>6</v>
      </c>
      <c r="H592" s="2">
        <v>3999</v>
      </c>
      <c r="I592" s="2">
        <v>23994</v>
      </c>
      <c r="J592" s="2" t="str">
        <f t="shared" si="18"/>
        <v>Nov</v>
      </c>
      <c r="K592" s="4">
        <f t="shared" si="19"/>
        <v>2024</v>
      </c>
    </row>
    <row r="593" spans="1:11" x14ac:dyDescent="0.3">
      <c r="A593" s="4" t="s">
        <v>635</v>
      </c>
      <c r="B593" s="8">
        <v>45626</v>
      </c>
      <c r="C593" s="4" t="s">
        <v>67</v>
      </c>
      <c r="D593" s="4" t="s">
        <v>11</v>
      </c>
      <c r="E593" s="4" t="s">
        <v>17</v>
      </c>
      <c r="F593" s="4" t="s">
        <v>25</v>
      </c>
      <c r="G593" s="4">
        <v>1</v>
      </c>
      <c r="H593" s="2">
        <v>331.55</v>
      </c>
      <c r="I593" s="2">
        <v>331.55</v>
      </c>
      <c r="J593" s="2" t="str">
        <f t="shared" si="18"/>
        <v>Nov</v>
      </c>
      <c r="K593" s="4">
        <f t="shared" si="19"/>
        <v>2024</v>
      </c>
    </row>
    <row r="594" spans="1:11" x14ac:dyDescent="0.3">
      <c r="A594" s="4" t="s">
        <v>636</v>
      </c>
      <c r="B594" s="8">
        <v>45627</v>
      </c>
      <c r="C594" s="4" t="s">
        <v>40</v>
      </c>
      <c r="D594" s="4" t="s">
        <v>41</v>
      </c>
      <c r="E594" s="4" t="s">
        <v>24</v>
      </c>
      <c r="F594" s="4" t="s">
        <v>25</v>
      </c>
      <c r="G594" s="4">
        <v>5</v>
      </c>
      <c r="H594" s="2">
        <v>1979.1</v>
      </c>
      <c r="I594" s="2">
        <v>9895.5</v>
      </c>
      <c r="J594" s="2" t="str">
        <f t="shared" si="18"/>
        <v>Dec</v>
      </c>
      <c r="K594" s="4">
        <f t="shared" si="19"/>
        <v>2024</v>
      </c>
    </row>
    <row r="595" spans="1:11" x14ac:dyDescent="0.3">
      <c r="A595" s="4" t="s">
        <v>637</v>
      </c>
      <c r="B595" s="8">
        <v>45627</v>
      </c>
      <c r="C595" s="4" t="s">
        <v>10</v>
      </c>
      <c r="D595" s="4" t="s">
        <v>11</v>
      </c>
      <c r="E595" s="4" t="s">
        <v>12</v>
      </c>
      <c r="F595" s="4" t="s">
        <v>21</v>
      </c>
      <c r="G595" s="4">
        <v>3</v>
      </c>
      <c r="H595" s="2">
        <v>299</v>
      </c>
      <c r="I595" s="2">
        <v>897</v>
      </c>
      <c r="J595" s="2" t="str">
        <f t="shared" si="18"/>
        <v>Dec</v>
      </c>
      <c r="K595" s="4">
        <f t="shared" si="19"/>
        <v>2024</v>
      </c>
    </row>
    <row r="596" spans="1:11" x14ac:dyDescent="0.3">
      <c r="A596" s="4" t="s">
        <v>638</v>
      </c>
      <c r="B596" s="8">
        <v>45629</v>
      </c>
      <c r="C596" s="4" t="s">
        <v>20</v>
      </c>
      <c r="D596" s="4" t="s">
        <v>11</v>
      </c>
      <c r="E596" s="4" t="s">
        <v>24</v>
      </c>
      <c r="F596" s="4" t="s">
        <v>21</v>
      </c>
      <c r="G596" s="4">
        <v>1</v>
      </c>
      <c r="H596" s="2">
        <v>399</v>
      </c>
      <c r="I596" s="2">
        <v>399</v>
      </c>
      <c r="J596" s="2" t="str">
        <f t="shared" si="18"/>
        <v>Dec</v>
      </c>
      <c r="K596" s="4">
        <f t="shared" si="19"/>
        <v>2024</v>
      </c>
    </row>
    <row r="597" spans="1:11" x14ac:dyDescent="0.3">
      <c r="A597" s="4" t="s">
        <v>639</v>
      </c>
      <c r="B597" s="8">
        <v>45630</v>
      </c>
      <c r="C597" s="4" t="s">
        <v>30</v>
      </c>
      <c r="D597" s="4" t="s">
        <v>31</v>
      </c>
      <c r="E597" s="4" t="s">
        <v>12</v>
      </c>
      <c r="F597" s="4" t="s">
        <v>18</v>
      </c>
      <c r="G597" s="4">
        <v>10</v>
      </c>
      <c r="H597" s="2">
        <v>4049.1</v>
      </c>
      <c r="I597" s="2">
        <v>40491</v>
      </c>
      <c r="J597" s="2" t="str">
        <f t="shared" si="18"/>
        <v>Dec</v>
      </c>
      <c r="K597" s="4">
        <f t="shared" si="19"/>
        <v>2024</v>
      </c>
    </row>
    <row r="598" spans="1:11" x14ac:dyDescent="0.3">
      <c r="A598" s="4" t="s">
        <v>640</v>
      </c>
      <c r="B598" s="8">
        <v>45630</v>
      </c>
      <c r="C598" s="4" t="s">
        <v>40</v>
      </c>
      <c r="D598" s="4" t="s">
        <v>41</v>
      </c>
      <c r="E598" s="4" t="s">
        <v>17</v>
      </c>
      <c r="F598" s="4" t="s">
        <v>21</v>
      </c>
      <c r="G598" s="4">
        <v>3</v>
      </c>
      <c r="H598" s="2">
        <v>2089.0500000000002</v>
      </c>
      <c r="I598" s="2">
        <v>6267.15</v>
      </c>
      <c r="J598" s="2" t="str">
        <f t="shared" si="18"/>
        <v>Dec</v>
      </c>
      <c r="K598" s="4">
        <f t="shared" si="19"/>
        <v>2024</v>
      </c>
    </row>
    <row r="599" spans="1:11" x14ac:dyDescent="0.3">
      <c r="A599" s="4" t="s">
        <v>641</v>
      </c>
      <c r="B599" s="8">
        <v>45631</v>
      </c>
      <c r="C599" s="4" t="s">
        <v>67</v>
      </c>
      <c r="D599" s="4" t="s">
        <v>11</v>
      </c>
      <c r="E599" s="4" t="s">
        <v>35</v>
      </c>
      <c r="F599" s="4" t="s">
        <v>32</v>
      </c>
      <c r="G599" s="4">
        <v>2</v>
      </c>
      <c r="H599" s="2">
        <v>349</v>
      </c>
      <c r="I599" s="2">
        <v>698</v>
      </c>
      <c r="J599" s="2" t="str">
        <f t="shared" si="18"/>
        <v>Dec</v>
      </c>
      <c r="K599" s="4">
        <f t="shared" si="19"/>
        <v>2024</v>
      </c>
    </row>
    <row r="600" spans="1:11" x14ac:dyDescent="0.3">
      <c r="A600" s="4" t="s">
        <v>642</v>
      </c>
      <c r="B600" s="8">
        <v>45631</v>
      </c>
      <c r="C600" s="4" t="s">
        <v>10</v>
      </c>
      <c r="D600" s="4" t="s">
        <v>11</v>
      </c>
      <c r="E600" s="4" t="s">
        <v>24</v>
      </c>
      <c r="F600" s="4" t="s">
        <v>18</v>
      </c>
      <c r="G600" s="4">
        <v>11</v>
      </c>
      <c r="H600" s="2">
        <v>299</v>
      </c>
      <c r="I600" s="2">
        <v>3289</v>
      </c>
      <c r="J600" s="2" t="str">
        <f t="shared" si="18"/>
        <v>Dec</v>
      </c>
      <c r="K600" s="4">
        <f t="shared" si="19"/>
        <v>2024</v>
      </c>
    </row>
    <row r="601" spans="1:11" x14ac:dyDescent="0.3">
      <c r="A601" s="4" t="s">
        <v>643</v>
      </c>
      <c r="B601" s="8">
        <v>45632</v>
      </c>
      <c r="C601" s="4" t="s">
        <v>70</v>
      </c>
      <c r="D601" s="4" t="s">
        <v>28</v>
      </c>
      <c r="E601" s="4" t="s">
        <v>24</v>
      </c>
      <c r="F601" s="4" t="s">
        <v>32</v>
      </c>
      <c r="G601" s="4">
        <v>4</v>
      </c>
      <c r="H601" s="2">
        <v>1199</v>
      </c>
      <c r="I601" s="2">
        <v>4796</v>
      </c>
      <c r="J601" s="2" t="str">
        <f t="shared" si="18"/>
        <v>Dec</v>
      </c>
      <c r="K601" s="4">
        <f t="shared" si="19"/>
        <v>2024</v>
      </c>
    </row>
    <row r="602" spans="1:11" x14ac:dyDescent="0.3">
      <c r="A602" s="4" t="s">
        <v>644</v>
      </c>
      <c r="B602" s="8">
        <v>45632</v>
      </c>
      <c r="C602" s="4" t="s">
        <v>23</v>
      </c>
      <c r="D602" s="4" t="s">
        <v>16</v>
      </c>
      <c r="E602" s="4" t="s">
        <v>35</v>
      </c>
      <c r="F602" s="4" t="s">
        <v>32</v>
      </c>
      <c r="G602" s="4">
        <v>10</v>
      </c>
      <c r="H602" s="2">
        <v>2499</v>
      </c>
      <c r="I602" s="2">
        <v>24990</v>
      </c>
      <c r="J602" s="2" t="str">
        <f t="shared" si="18"/>
        <v>Dec</v>
      </c>
      <c r="K602" s="4">
        <f t="shared" si="19"/>
        <v>2024</v>
      </c>
    </row>
    <row r="603" spans="1:11" x14ac:dyDescent="0.3">
      <c r="A603" s="4" t="s">
        <v>645</v>
      </c>
      <c r="B603" s="8">
        <v>45633</v>
      </c>
      <c r="C603" s="4" t="s">
        <v>59</v>
      </c>
      <c r="D603" s="4" t="s">
        <v>41</v>
      </c>
      <c r="E603" s="4" t="s">
        <v>24</v>
      </c>
      <c r="F603" s="4" t="s">
        <v>47</v>
      </c>
      <c r="G603" s="4">
        <v>8</v>
      </c>
      <c r="H603" s="2">
        <v>1349.1</v>
      </c>
      <c r="I603" s="2">
        <v>10792.8</v>
      </c>
      <c r="J603" s="2" t="str">
        <f t="shared" si="18"/>
        <v>Dec</v>
      </c>
      <c r="K603" s="4">
        <f t="shared" si="19"/>
        <v>2024</v>
      </c>
    </row>
    <row r="604" spans="1:11" x14ac:dyDescent="0.3">
      <c r="A604" s="4" t="s">
        <v>646</v>
      </c>
      <c r="B604" s="8">
        <v>45633</v>
      </c>
      <c r="C604" s="4" t="s">
        <v>30</v>
      </c>
      <c r="D604" s="4" t="s">
        <v>31</v>
      </c>
      <c r="E604" s="4" t="s">
        <v>12</v>
      </c>
      <c r="F604" s="4" t="s">
        <v>18</v>
      </c>
      <c r="G604" s="4">
        <v>6</v>
      </c>
      <c r="H604" s="2">
        <v>4499</v>
      </c>
      <c r="I604" s="2">
        <v>26994</v>
      </c>
      <c r="J604" s="2" t="str">
        <f t="shared" si="18"/>
        <v>Dec</v>
      </c>
      <c r="K604" s="4">
        <f t="shared" si="19"/>
        <v>2024</v>
      </c>
    </row>
    <row r="605" spans="1:11" x14ac:dyDescent="0.3">
      <c r="A605" s="4" t="s">
        <v>647</v>
      </c>
      <c r="B605" s="8">
        <v>45634</v>
      </c>
      <c r="C605" s="4" t="s">
        <v>64</v>
      </c>
      <c r="D605" s="4" t="s">
        <v>41</v>
      </c>
      <c r="E605" s="4" t="s">
        <v>24</v>
      </c>
      <c r="F605" s="4" t="s">
        <v>25</v>
      </c>
      <c r="G605" s="4">
        <v>1</v>
      </c>
      <c r="H605" s="2">
        <v>1799</v>
      </c>
      <c r="I605" s="2">
        <v>1799</v>
      </c>
      <c r="J605" s="2" t="str">
        <f t="shared" si="18"/>
        <v>Dec</v>
      </c>
      <c r="K605" s="4">
        <f t="shared" si="19"/>
        <v>2024</v>
      </c>
    </row>
    <row r="606" spans="1:11" x14ac:dyDescent="0.3">
      <c r="A606" s="4" t="s">
        <v>648</v>
      </c>
      <c r="B606" s="8">
        <v>45634</v>
      </c>
      <c r="C606" s="4" t="s">
        <v>34</v>
      </c>
      <c r="D606" s="4" t="s">
        <v>28</v>
      </c>
      <c r="E606" s="4" t="s">
        <v>12</v>
      </c>
      <c r="F606" s="4" t="s">
        <v>47</v>
      </c>
      <c r="G606" s="4">
        <v>1</v>
      </c>
      <c r="H606" s="2">
        <v>799</v>
      </c>
      <c r="I606" s="2">
        <v>799</v>
      </c>
      <c r="J606" s="2" t="str">
        <f t="shared" si="18"/>
        <v>Dec</v>
      </c>
      <c r="K606" s="4">
        <f t="shared" si="19"/>
        <v>2024</v>
      </c>
    </row>
    <row r="607" spans="1:11" x14ac:dyDescent="0.3">
      <c r="A607" s="4" t="s">
        <v>649</v>
      </c>
      <c r="B607" s="8">
        <v>45634</v>
      </c>
      <c r="C607" s="4" t="s">
        <v>107</v>
      </c>
      <c r="D607" s="4" t="s">
        <v>31</v>
      </c>
      <c r="E607" s="4" t="s">
        <v>35</v>
      </c>
      <c r="F607" s="4" t="s">
        <v>25</v>
      </c>
      <c r="G607" s="4">
        <v>4</v>
      </c>
      <c r="H607" s="2">
        <v>3134.05</v>
      </c>
      <c r="I607" s="2">
        <v>12536.2</v>
      </c>
      <c r="J607" s="2" t="str">
        <f t="shared" si="18"/>
        <v>Dec</v>
      </c>
      <c r="K607" s="4">
        <f t="shared" si="19"/>
        <v>2024</v>
      </c>
    </row>
    <row r="608" spans="1:11" x14ac:dyDescent="0.3">
      <c r="A608" s="4" t="s">
        <v>650</v>
      </c>
      <c r="B608" s="8">
        <v>45634</v>
      </c>
      <c r="C608" s="4" t="s">
        <v>15</v>
      </c>
      <c r="D608" s="4" t="s">
        <v>16</v>
      </c>
      <c r="E608" s="4" t="s">
        <v>35</v>
      </c>
      <c r="F608" s="4" t="s">
        <v>18</v>
      </c>
      <c r="G608" s="4">
        <v>9</v>
      </c>
      <c r="H608" s="2">
        <v>1999</v>
      </c>
      <c r="I608" s="2">
        <v>17991</v>
      </c>
      <c r="J608" s="2" t="str">
        <f t="shared" si="18"/>
        <v>Dec</v>
      </c>
      <c r="K608" s="4">
        <f t="shared" si="19"/>
        <v>2024</v>
      </c>
    </row>
    <row r="609" spans="1:11" x14ac:dyDescent="0.3">
      <c r="A609" s="4" t="s">
        <v>651</v>
      </c>
      <c r="B609" s="8">
        <v>45635</v>
      </c>
      <c r="C609" s="4" t="s">
        <v>27</v>
      </c>
      <c r="D609" s="4" t="s">
        <v>28</v>
      </c>
      <c r="E609" s="4" t="s">
        <v>17</v>
      </c>
      <c r="F609" s="4" t="s">
        <v>21</v>
      </c>
      <c r="G609" s="4">
        <v>1</v>
      </c>
      <c r="H609" s="2">
        <v>3149.1</v>
      </c>
      <c r="I609" s="2">
        <v>3149.1</v>
      </c>
      <c r="J609" s="2" t="str">
        <f t="shared" si="18"/>
        <v>Dec</v>
      </c>
      <c r="K609" s="4">
        <f t="shared" si="19"/>
        <v>2024</v>
      </c>
    </row>
    <row r="610" spans="1:11" x14ac:dyDescent="0.3">
      <c r="A610" s="4" t="s">
        <v>652</v>
      </c>
      <c r="B610" s="8">
        <v>45635</v>
      </c>
      <c r="C610" s="4" t="s">
        <v>15</v>
      </c>
      <c r="D610" s="4" t="s">
        <v>16</v>
      </c>
      <c r="E610" s="4" t="s">
        <v>17</v>
      </c>
      <c r="F610" s="4" t="s">
        <v>25</v>
      </c>
      <c r="G610" s="4">
        <v>2</v>
      </c>
      <c r="H610" s="2">
        <v>1999</v>
      </c>
      <c r="I610" s="2">
        <v>3998</v>
      </c>
      <c r="J610" s="2" t="str">
        <f t="shared" si="18"/>
        <v>Dec</v>
      </c>
      <c r="K610" s="4">
        <f t="shared" si="19"/>
        <v>2024</v>
      </c>
    </row>
    <row r="611" spans="1:11" x14ac:dyDescent="0.3">
      <c r="A611" s="4" t="s">
        <v>653</v>
      </c>
      <c r="B611" s="8">
        <v>45637</v>
      </c>
      <c r="C611" s="4" t="s">
        <v>27</v>
      </c>
      <c r="D611" s="4" t="s">
        <v>28</v>
      </c>
      <c r="E611" s="4" t="s">
        <v>24</v>
      </c>
      <c r="F611" s="4" t="s">
        <v>18</v>
      </c>
      <c r="G611" s="4">
        <v>1</v>
      </c>
      <c r="H611" s="2">
        <v>3499</v>
      </c>
      <c r="I611" s="2">
        <v>3499</v>
      </c>
      <c r="J611" s="2" t="str">
        <f t="shared" si="18"/>
        <v>Dec</v>
      </c>
      <c r="K611" s="4">
        <f t="shared" si="19"/>
        <v>2024</v>
      </c>
    </row>
    <row r="612" spans="1:11" x14ac:dyDescent="0.3">
      <c r="A612" s="4" t="s">
        <v>654</v>
      </c>
      <c r="B612" s="8">
        <v>45637</v>
      </c>
      <c r="C612" s="4" t="s">
        <v>50</v>
      </c>
      <c r="D612" s="4" t="s">
        <v>41</v>
      </c>
      <c r="E612" s="4" t="s">
        <v>12</v>
      </c>
      <c r="F612" s="4" t="s">
        <v>13</v>
      </c>
      <c r="G612" s="4">
        <v>12</v>
      </c>
      <c r="H612" s="2">
        <v>999</v>
      </c>
      <c r="I612" s="2">
        <v>11988</v>
      </c>
      <c r="J612" s="2" t="str">
        <f t="shared" si="18"/>
        <v>Dec</v>
      </c>
      <c r="K612" s="4">
        <f t="shared" si="19"/>
        <v>2024</v>
      </c>
    </row>
    <row r="613" spans="1:11" x14ac:dyDescent="0.3">
      <c r="A613" s="4" t="s">
        <v>655</v>
      </c>
      <c r="B613" s="8">
        <v>45638</v>
      </c>
      <c r="C613" s="4" t="s">
        <v>34</v>
      </c>
      <c r="D613" s="4" t="s">
        <v>28</v>
      </c>
      <c r="E613" s="4" t="s">
        <v>35</v>
      </c>
      <c r="F613" s="4" t="s">
        <v>13</v>
      </c>
      <c r="G613" s="4">
        <v>7</v>
      </c>
      <c r="H613" s="2">
        <v>799</v>
      </c>
      <c r="I613" s="2">
        <v>5593</v>
      </c>
      <c r="J613" s="2" t="str">
        <f t="shared" si="18"/>
        <v>Dec</v>
      </c>
      <c r="K613" s="4">
        <f t="shared" si="19"/>
        <v>2024</v>
      </c>
    </row>
    <row r="614" spans="1:11" x14ac:dyDescent="0.3">
      <c r="A614" s="4" t="s">
        <v>656</v>
      </c>
      <c r="B614" s="8">
        <v>45639</v>
      </c>
      <c r="C614" s="4" t="s">
        <v>10</v>
      </c>
      <c r="D614" s="4" t="s">
        <v>11</v>
      </c>
      <c r="E614" s="4" t="s">
        <v>12</v>
      </c>
      <c r="F614" s="4" t="s">
        <v>13</v>
      </c>
      <c r="G614" s="4">
        <v>8</v>
      </c>
      <c r="H614" s="2">
        <v>269.10000000000002</v>
      </c>
      <c r="I614" s="2">
        <v>2152.8000000000002</v>
      </c>
      <c r="J614" s="2" t="str">
        <f t="shared" si="18"/>
        <v>Dec</v>
      </c>
      <c r="K614" s="4">
        <f t="shared" si="19"/>
        <v>2024</v>
      </c>
    </row>
    <row r="615" spans="1:11" x14ac:dyDescent="0.3">
      <c r="A615" s="4" t="s">
        <v>657</v>
      </c>
      <c r="B615" s="8">
        <v>45639</v>
      </c>
      <c r="C615" s="4" t="s">
        <v>57</v>
      </c>
      <c r="D615" s="4" t="s">
        <v>31</v>
      </c>
      <c r="E615" s="4" t="s">
        <v>17</v>
      </c>
      <c r="F615" s="4" t="s">
        <v>18</v>
      </c>
      <c r="G615" s="4">
        <v>1</v>
      </c>
      <c r="H615" s="2">
        <v>1299</v>
      </c>
      <c r="I615" s="2">
        <v>1299</v>
      </c>
      <c r="J615" s="2" t="str">
        <f t="shared" si="18"/>
        <v>Dec</v>
      </c>
      <c r="K615" s="4">
        <f t="shared" si="19"/>
        <v>2024</v>
      </c>
    </row>
    <row r="616" spans="1:11" x14ac:dyDescent="0.3">
      <c r="A616" s="4" t="s">
        <v>658</v>
      </c>
      <c r="B616" s="8">
        <v>45639</v>
      </c>
      <c r="C616" s="4" t="s">
        <v>67</v>
      </c>
      <c r="D616" s="4" t="s">
        <v>11</v>
      </c>
      <c r="E616" s="4" t="s">
        <v>24</v>
      </c>
      <c r="F616" s="4" t="s">
        <v>32</v>
      </c>
      <c r="G616" s="4">
        <v>7</v>
      </c>
      <c r="H616" s="2">
        <v>349</v>
      </c>
      <c r="I616" s="2">
        <v>2443</v>
      </c>
      <c r="J616" s="2" t="str">
        <f t="shared" si="18"/>
        <v>Dec</v>
      </c>
      <c r="K616" s="4">
        <f t="shared" si="19"/>
        <v>2024</v>
      </c>
    </row>
    <row r="617" spans="1:11" x14ac:dyDescent="0.3">
      <c r="A617" s="4" t="s">
        <v>659</v>
      </c>
      <c r="B617" s="8">
        <v>45639</v>
      </c>
      <c r="C617" s="4" t="s">
        <v>45</v>
      </c>
      <c r="D617" s="4" t="s">
        <v>16</v>
      </c>
      <c r="E617" s="4" t="s">
        <v>12</v>
      </c>
      <c r="F617" s="4" t="s">
        <v>32</v>
      </c>
      <c r="G617" s="4">
        <v>4</v>
      </c>
      <c r="H617" s="2">
        <v>4674.1499999999996</v>
      </c>
      <c r="I617" s="2">
        <v>18696.599999999999</v>
      </c>
      <c r="J617" s="2" t="str">
        <f t="shared" si="18"/>
        <v>Dec</v>
      </c>
      <c r="K617" s="4">
        <f t="shared" si="19"/>
        <v>2024</v>
      </c>
    </row>
    <row r="618" spans="1:11" x14ac:dyDescent="0.3">
      <c r="A618" s="4" t="s">
        <v>660</v>
      </c>
      <c r="B618" s="8">
        <v>45639</v>
      </c>
      <c r="C618" s="4" t="s">
        <v>72</v>
      </c>
      <c r="D618" s="4" t="s">
        <v>16</v>
      </c>
      <c r="E618" s="4" t="s">
        <v>35</v>
      </c>
      <c r="F618" s="4" t="s">
        <v>18</v>
      </c>
      <c r="G618" s="4">
        <v>6</v>
      </c>
      <c r="H618" s="2">
        <v>1799</v>
      </c>
      <c r="I618" s="2">
        <v>10794</v>
      </c>
      <c r="J618" s="2" t="str">
        <f t="shared" si="18"/>
        <v>Dec</v>
      </c>
      <c r="K618" s="4">
        <f t="shared" si="19"/>
        <v>2024</v>
      </c>
    </row>
    <row r="619" spans="1:11" x14ac:dyDescent="0.3">
      <c r="A619" s="4" t="s">
        <v>661</v>
      </c>
      <c r="B619" s="8">
        <v>45640</v>
      </c>
      <c r="C619" s="4" t="s">
        <v>37</v>
      </c>
      <c r="D619" s="4" t="s">
        <v>16</v>
      </c>
      <c r="E619" s="4" t="s">
        <v>12</v>
      </c>
      <c r="F619" s="4" t="s">
        <v>32</v>
      </c>
      <c r="G619" s="4">
        <v>3</v>
      </c>
      <c r="H619" s="2">
        <v>899</v>
      </c>
      <c r="I619" s="2">
        <v>2697</v>
      </c>
      <c r="J619" s="2" t="str">
        <f t="shared" si="18"/>
        <v>Dec</v>
      </c>
      <c r="K619" s="4">
        <f t="shared" si="19"/>
        <v>2024</v>
      </c>
    </row>
    <row r="620" spans="1:11" x14ac:dyDescent="0.3">
      <c r="A620" s="4" t="s">
        <v>662</v>
      </c>
      <c r="B620" s="8">
        <v>45640</v>
      </c>
      <c r="C620" s="4" t="s">
        <v>64</v>
      </c>
      <c r="D620" s="4" t="s">
        <v>41</v>
      </c>
      <c r="E620" s="4" t="s">
        <v>35</v>
      </c>
      <c r="F620" s="4" t="s">
        <v>32</v>
      </c>
      <c r="G620" s="4">
        <v>3</v>
      </c>
      <c r="H620" s="2">
        <v>1799</v>
      </c>
      <c r="I620" s="2">
        <v>5397</v>
      </c>
      <c r="J620" s="2" t="str">
        <f t="shared" si="18"/>
        <v>Dec</v>
      </c>
      <c r="K620" s="4">
        <f t="shared" si="19"/>
        <v>2024</v>
      </c>
    </row>
    <row r="621" spans="1:11" x14ac:dyDescent="0.3">
      <c r="A621" s="4" t="s">
        <v>663</v>
      </c>
      <c r="B621" s="8">
        <v>45642</v>
      </c>
      <c r="C621" s="4" t="s">
        <v>34</v>
      </c>
      <c r="D621" s="4" t="s">
        <v>28</v>
      </c>
      <c r="E621" s="4" t="s">
        <v>24</v>
      </c>
      <c r="F621" s="4" t="s">
        <v>47</v>
      </c>
      <c r="G621" s="4">
        <v>8</v>
      </c>
      <c r="H621" s="2">
        <v>759.05</v>
      </c>
      <c r="I621" s="2">
        <v>6072.4</v>
      </c>
      <c r="J621" s="2" t="str">
        <f t="shared" si="18"/>
        <v>Dec</v>
      </c>
      <c r="K621" s="4">
        <f t="shared" si="19"/>
        <v>2024</v>
      </c>
    </row>
    <row r="622" spans="1:11" x14ac:dyDescent="0.3">
      <c r="A622" s="4" t="s">
        <v>664</v>
      </c>
      <c r="B622" s="8">
        <v>45642</v>
      </c>
      <c r="C622" s="4" t="s">
        <v>20</v>
      </c>
      <c r="D622" s="4" t="s">
        <v>11</v>
      </c>
      <c r="E622" s="4" t="s">
        <v>17</v>
      </c>
      <c r="F622" s="4" t="s">
        <v>25</v>
      </c>
      <c r="G622" s="4">
        <v>9</v>
      </c>
      <c r="H622" s="2">
        <v>399</v>
      </c>
      <c r="I622" s="2">
        <v>3591</v>
      </c>
      <c r="J622" s="2" t="str">
        <f t="shared" si="18"/>
        <v>Dec</v>
      </c>
      <c r="K622" s="4">
        <f t="shared" si="19"/>
        <v>2024</v>
      </c>
    </row>
    <row r="623" spans="1:11" x14ac:dyDescent="0.3">
      <c r="A623" s="4" t="s">
        <v>665</v>
      </c>
      <c r="B623" s="8">
        <v>45644</v>
      </c>
      <c r="C623" s="4" t="s">
        <v>57</v>
      </c>
      <c r="D623" s="4" t="s">
        <v>31</v>
      </c>
      <c r="E623" s="4" t="s">
        <v>17</v>
      </c>
      <c r="F623" s="4" t="s">
        <v>18</v>
      </c>
      <c r="G623" s="4">
        <v>8</v>
      </c>
      <c r="H623" s="2">
        <v>1299</v>
      </c>
      <c r="I623" s="2">
        <v>10392</v>
      </c>
      <c r="J623" s="2" t="str">
        <f t="shared" si="18"/>
        <v>Dec</v>
      </c>
      <c r="K623" s="4">
        <f t="shared" si="19"/>
        <v>2024</v>
      </c>
    </row>
    <row r="624" spans="1:11" x14ac:dyDescent="0.3">
      <c r="A624" s="4" t="s">
        <v>666</v>
      </c>
      <c r="B624" s="8">
        <v>45647</v>
      </c>
      <c r="C624" s="4" t="s">
        <v>64</v>
      </c>
      <c r="D624" s="4" t="s">
        <v>41</v>
      </c>
      <c r="E624" s="4" t="s">
        <v>24</v>
      </c>
      <c r="F624" s="4" t="s">
        <v>32</v>
      </c>
      <c r="G624" s="4">
        <v>8</v>
      </c>
      <c r="H624" s="2">
        <v>1799</v>
      </c>
      <c r="I624" s="2">
        <v>14392</v>
      </c>
      <c r="J624" s="2" t="str">
        <f t="shared" si="18"/>
        <v>Dec</v>
      </c>
      <c r="K624" s="4">
        <f t="shared" si="19"/>
        <v>2024</v>
      </c>
    </row>
    <row r="625" spans="1:11" x14ac:dyDescent="0.3">
      <c r="A625" s="4" t="s">
        <v>667</v>
      </c>
      <c r="B625" s="8">
        <v>45647</v>
      </c>
      <c r="C625" s="4" t="s">
        <v>57</v>
      </c>
      <c r="D625" s="4" t="s">
        <v>31</v>
      </c>
      <c r="E625" s="4" t="s">
        <v>24</v>
      </c>
      <c r="F625" s="4" t="s">
        <v>32</v>
      </c>
      <c r="G625" s="4">
        <v>11</v>
      </c>
      <c r="H625" s="2">
        <v>1299</v>
      </c>
      <c r="I625" s="2">
        <v>14289</v>
      </c>
      <c r="J625" s="2" t="str">
        <f t="shared" si="18"/>
        <v>Dec</v>
      </c>
      <c r="K625" s="4">
        <f t="shared" si="19"/>
        <v>2024</v>
      </c>
    </row>
    <row r="626" spans="1:11" x14ac:dyDescent="0.3">
      <c r="A626" s="4" t="s">
        <v>668</v>
      </c>
      <c r="B626" s="8">
        <v>45648</v>
      </c>
      <c r="C626" s="4" t="s">
        <v>86</v>
      </c>
      <c r="D626" s="4" t="s">
        <v>28</v>
      </c>
      <c r="E626" s="4" t="s">
        <v>35</v>
      </c>
      <c r="F626" s="4" t="s">
        <v>47</v>
      </c>
      <c r="G626" s="4">
        <v>4</v>
      </c>
      <c r="H626" s="2">
        <v>899</v>
      </c>
      <c r="I626" s="2">
        <v>3596</v>
      </c>
      <c r="J626" s="2" t="str">
        <f t="shared" si="18"/>
        <v>Dec</v>
      </c>
      <c r="K626" s="4">
        <f t="shared" si="19"/>
        <v>2024</v>
      </c>
    </row>
    <row r="627" spans="1:11" x14ac:dyDescent="0.3">
      <c r="A627" s="4" t="s">
        <v>669</v>
      </c>
      <c r="B627" s="8">
        <v>45648</v>
      </c>
      <c r="C627" s="4" t="s">
        <v>10</v>
      </c>
      <c r="D627" s="4" t="s">
        <v>11</v>
      </c>
      <c r="E627" s="4" t="s">
        <v>12</v>
      </c>
      <c r="F627" s="4" t="s">
        <v>18</v>
      </c>
      <c r="G627" s="4">
        <v>9</v>
      </c>
      <c r="H627" s="2">
        <v>299</v>
      </c>
      <c r="I627" s="2">
        <v>2691</v>
      </c>
      <c r="J627" s="2" t="str">
        <f t="shared" si="18"/>
        <v>Dec</v>
      </c>
      <c r="K627" s="4">
        <f t="shared" si="19"/>
        <v>2024</v>
      </c>
    </row>
    <row r="628" spans="1:11" x14ac:dyDescent="0.3">
      <c r="A628" s="4" t="s">
        <v>670</v>
      </c>
      <c r="B628" s="8">
        <v>45648</v>
      </c>
      <c r="C628" s="4" t="s">
        <v>72</v>
      </c>
      <c r="D628" s="4" t="s">
        <v>16</v>
      </c>
      <c r="E628" s="4" t="s">
        <v>12</v>
      </c>
      <c r="F628" s="4" t="s">
        <v>13</v>
      </c>
      <c r="G628" s="4">
        <v>3</v>
      </c>
      <c r="H628" s="2">
        <v>1619.1</v>
      </c>
      <c r="I628" s="2">
        <v>4857.3</v>
      </c>
      <c r="J628" s="2" t="str">
        <f t="shared" si="18"/>
        <v>Dec</v>
      </c>
      <c r="K628" s="4">
        <f t="shared" si="19"/>
        <v>2024</v>
      </c>
    </row>
    <row r="629" spans="1:11" x14ac:dyDescent="0.3">
      <c r="A629" s="4" t="s">
        <v>671</v>
      </c>
      <c r="B629" s="8">
        <v>45648</v>
      </c>
      <c r="C629" s="4" t="s">
        <v>50</v>
      </c>
      <c r="D629" s="4" t="s">
        <v>41</v>
      </c>
      <c r="E629" s="4" t="s">
        <v>17</v>
      </c>
      <c r="F629" s="4" t="s">
        <v>25</v>
      </c>
      <c r="G629" s="4">
        <v>2</v>
      </c>
      <c r="H629" s="2">
        <v>999</v>
      </c>
      <c r="I629" s="2">
        <v>1998</v>
      </c>
      <c r="J629" s="2" t="str">
        <f t="shared" si="18"/>
        <v>Dec</v>
      </c>
      <c r="K629" s="4">
        <f t="shared" si="19"/>
        <v>2024</v>
      </c>
    </row>
    <row r="630" spans="1:11" x14ac:dyDescent="0.3">
      <c r="A630" s="4" t="s">
        <v>672</v>
      </c>
      <c r="B630" s="8">
        <v>45649</v>
      </c>
      <c r="C630" s="4" t="s">
        <v>40</v>
      </c>
      <c r="D630" s="4" t="s">
        <v>41</v>
      </c>
      <c r="E630" s="4" t="s">
        <v>12</v>
      </c>
      <c r="F630" s="4" t="s">
        <v>13</v>
      </c>
      <c r="G630" s="4">
        <v>10</v>
      </c>
      <c r="H630" s="2">
        <v>1979.1</v>
      </c>
      <c r="I630" s="2">
        <v>19791</v>
      </c>
      <c r="J630" s="2" t="str">
        <f t="shared" si="18"/>
        <v>Dec</v>
      </c>
      <c r="K630" s="4">
        <f t="shared" si="19"/>
        <v>2024</v>
      </c>
    </row>
    <row r="631" spans="1:11" x14ac:dyDescent="0.3">
      <c r="A631" s="4" t="s">
        <v>673</v>
      </c>
      <c r="B631" s="8">
        <v>45649</v>
      </c>
      <c r="C631" s="4" t="s">
        <v>59</v>
      </c>
      <c r="D631" s="4" t="s">
        <v>41</v>
      </c>
      <c r="E631" s="4" t="s">
        <v>24</v>
      </c>
      <c r="F631" s="4" t="s">
        <v>32</v>
      </c>
      <c r="G631" s="4">
        <v>2</v>
      </c>
      <c r="H631" s="2">
        <v>1499</v>
      </c>
      <c r="I631" s="2">
        <v>2998</v>
      </c>
      <c r="J631" s="2" t="str">
        <f t="shared" si="18"/>
        <v>Dec</v>
      </c>
      <c r="K631" s="4">
        <f t="shared" si="19"/>
        <v>2024</v>
      </c>
    </row>
    <row r="632" spans="1:11" x14ac:dyDescent="0.3">
      <c r="A632" s="4" t="s">
        <v>674</v>
      </c>
      <c r="B632" s="8">
        <v>45650</v>
      </c>
      <c r="C632" s="4" t="s">
        <v>52</v>
      </c>
      <c r="D632" s="4" t="s">
        <v>31</v>
      </c>
      <c r="E632" s="4" t="s">
        <v>12</v>
      </c>
      <c r="F632" s="4" t="s">
        <v>47</v>
      </c>
      <c r="G632" s="4">
        <v>9</v>
      </c>
      <c r="H632" s="2">
        <v>3999</v>
      </c>
      <c r="I632" s="2">
        <v>35991</v>
      </c>
      <c r="J632" s="2" t="str">
        <f t="shared" si="18"/>
        <v>Dec</v>
      </c>
      <c r="K632" s="4">
        <f t="shared" si="19"/>
        <v>2024</v>
      </c>
    </row>
    <row r="633" spans="1:11" x14ac:dyDescent="0.3">
      <c r="A633" s="4" t="s">
        <v>675</v>
      </c>
      <c r="B633" s="8">
        <v>45650</v>
      </c>
      <c r="C633" s="4" t="s">
        <v>10</v>
      </c>
      <c r="D633" s="4" t="s">
        <v>11</v>
      </c>
      <c r="E633" s="4" t="s">
        <v>35</v>
      </c>
      <c r="F633" s="4" t="s">
        <v>21</v>
      </c>
      <c r="G633" s="4">
        <v>1</v>
      </c>
      <c r="H633" s="2">
        <v>299</v>
      </c>
      <c r="I633" s="2">
        <v>299</v>
      </c>
      <c r="J633" s="2" t="str">
        <f t="shared" si="18"/>
        <v>Dec</v>
      </c>
      <c r="K633" s="4">
        <f t="shared" si="19"/>
        <v>2024</v>
      </c>
    </row>
    <row r="634" spans="1:11" x14ac:dyDescent="0.3">
      <c r="A634" s="4" t="s">
        <v>676</v>
      </c>
      <c r="B634" s="8">
        <v>45651</v>
      </c>
      <c r="C634" s="4" t="s">
        <v>50</v>
      </c>
      <c r="D634" s="4" t="s">
        <v>41</v>
      </c>
      <c r="E634" s="4" t="s">
        <v>24</v>
      </c>
      <c r="F634" s="4" t="s">
        <v>32</v>
      </c>
      <c r="G634" s="4">
        <v>4</v>
      </c>
      <c r="H634" s="2">
        <v>999</v>
      </c>
      <c r="I634" s="2">
        <v>3996</v>
      </c>
      <c r="J634" s="2" t="str">
        <f t="shared" si="18"/>
        <v>Dec</v>
      </c>
      <c r="K634" s="4">
        <f t="shared" si="19"/>
        <v>2024</v>
      </c>
    </row>
    <row r="635" spans="1:11" x14ac:dyDescent="0.3">
      <c r="A635" s="4" t="s">
        <v>677</v>
      </c>
      <c r="B635" s="8">
        <v>45651</v>
      </c>
      <c r="C635" s="4" t="s">
        <v>27</v>
      </c>
      <c r="D635" s="4" t="s">
        <v>28</v>
      </c>
      <c r="E635" s="4" t="s">
        <v>24</v>
      </c>
      <c r="F635" s="4" t="s">
        <v>21</v>
      </c>
      <c r="G635" s="4">
        <v>8</v>
      </c>
      <c r="H635" s="2">
        <v>3499</v>
      </c>
      <c r="I635" s="2">
        <v>27992</v>
      </c>
      <c r="J635" s="2" t="str">
        <f t="shared" si="18"/>
        <v>Dec</v>
      </c>
      <c r="K635" s="4">
        <f t="shared" si="19"/>
        <v>2024</v>
      </c>
    </row>
    <row r="636" spans="1:11" x14ac:dyDescent="0.3">
      <c r="A636" s="4" t="s">
        <v>678</v>
      </c>
      <c r="B636" s="8">
        <v>45651</v>
      </c>
      <c r="C636" s="4" t="s">
        <v>72</v>
      </c>
      <c r="D636" s="4" t="s">
        <v>16</v>
      </c>
      <c r="E636" s="4" t="s">
        <v>35</v>
      </c>
      <c r="F636" s="4" t="s">
        <v>32</v>
      </c>
      <c r="G636" s="4">
        <v>3</v>
      </c>
      <c r="H636" s="2">
        <v>1799</v>
      </c>
      <c r="I636" s="2">
        <v>5397</v>
      </c>
      <c r="J636" s="2" t="str">
        <f t="shared" si="18"/>
        <v>Dec</v>
      </c>
      <c r="K636" s="4">
        <f t="shared" si="19"/>
        <v>2024</v>
      </c>
    </row>
    <row r="637" spans="1:11" x14ac:dyDescent="0.3">
      <c r="A637" s="4" t="s">
        <v>679</v>
      </c>
      <c r="B637" s="8">
        <v>45652</v>
      </c>
      <c r="C637" s="4" t="s">
        <v>57</v>
      </c>
      <c r="D637" s="4" t="s">
        <v>31</v>
      </c>
      <c r="E637" s="4" t="s">
        <v>35</v>
      </c>
      <c r="F637" s="4" t="s">
        <v>32</v>
      </c>
      <c r="G637" s="4">
        <v>7</v>
      </c>
      <c r="H637" s="2">
        <v>1299</v>
      </c>
      <c r="I637" s="2">
        <v>9093</v>
      </c>
      <c r="J637" s="2" t="str">
        <f t="shared" si="18"/>
        <v>Dec</v>
      </c>
      <c r="K637" s="4">
        <f t="shared" si="19"/>
        <v>2024</v>
      </c>
    </row>
    <row r="638" spans="1:11" x14ac:dyDescent="0.3">
      <c r="A638" s="4" t="s">
        <v>680</v>
      </c>
      <c r="B638" s="8">
        <v>45652</v>
      </c>
      <c r="C638" s="4" t="s">
        <v>37</v>
      </c>
      <c r="D638" s="4" t="s">
        <v>16</v>
      </c>
      <c r="E638" s="4" t="s">
        <v>24</v>
      </c>
      <c r="F638" s="4" t="s">
        <v>21</v>
      </c>
      <c r="G638" s="4">
        <v>3</v>
      </c>
      <c r="H638" s="2">
        <v>854.05</v>
      </c>
      <c r="I638" s="2">
        <v>2562.15</v>
      </c>
      <c r="J638" s="2" t="str">
        <f t="shared" si="18"/>
        <v>Dec</v>
      </c>
      <c r="K638" s="4">
        <f t="shared" si="19"/>
        <v>2024</v>
      </c>
    </row>
    <row r="639" spans="1:11" x14ac:dyDescent="0.3">
      <c r="A639" s="4" t="s">
        <v>681</v>
      </c>
      <c r="B639" s="8">
        <v>45653</v>
      </c>
      <c r="C639" s="4" t="s">
        <v>10</v>
      </c>
      <c r="D639" s="4" t="s">
        <v>11</v>
      </c>
      <c r="E639" s="4" t="s">
        <v>12</v>
      </c>
      <c r="F639" s="4" t="s">
        <v>25</v>
      </c>
      <c r="G639" s="4">
        <v>7</v>
      </c>
      <c r="H639" s="2">
        <v>299</v>
      </c>
      <c r="I639" s="2">
        <v>2093</v>
      </c>
      <c r="J639" s="2" t="str">
        <f t="shared" si="18"/>
        <v>Dec</v>
      </c>
      <c r="K639" s="4">
        <f t="shared" si="19"/>
        <v>2024</v>
      </c>
    </row>
    <row r="640" spans="1:11" x14ac:dyDescent="0.3">
      <c r="A640" s="4" t="s">
        <v>682</v>
      </c>
      <c r="B640" s="8">
        <v>45655</v>
      </c>
      <c r="C640" s="4" t="s">
        <v>67</v>
      </c>
      <c r="D640" s="4" t="s">
        <v>11</v>
      </c>
      <c r="E640" s="4" t="s">
        <v>24</v>
      </c>
      <c r="F640" s="4" t="s">
        <v>21</v>
      </c>
      <c r="G640" s="4">
        <v>6</v>
      </c>
      <c r="H640" s="2">
        <v>314.10000000000002</v>
      </c>
      <c r="I640" s="2">
        <v>1884.6</v>
      </c>
      <c r="J640" s="2" t="str">
        <f t="shared" si="18"/>
        <v>Dec</v>
      </c>
      <c r="K640" s="4">
        <f t="shared" si="19"/>
        <v>2024</v>
      </c>
    </row>
    <row r="641" spans="1:11" x14ac:dyDescent="0.3">
      <c r="A641" s="4" t="s">
        <v>683</v>
      </c>
      <c r="B641" s="8">
        <v>45656</v>
      </c>
      <c r="C641" s="4" t="s">
        <v>67</v>
      </c>
      <c r="D641" s="4" t="s">
        <v>11</v>
      </c>
      <c r="E641" s="4" t="s">
        <v>12</v>
      </c>
      <c r="F641" s="4" t="s">
        <v>47</v>
      </c>
      <c r="G641" s="4">
        <v>6</v>
      </c>
      <c r="H641" s="2">
        <v>349</v>
      </c>
      <c r="I641" s="2">
        <v>2094</v>
      </c>
      <c r="J641" s="2" t="str">
        <f t="shared" si="18"/>
        <v>Dec</v>
      </c>
      <c r="K641" s="4">
        <f t="shared" si="19"/>
        <v>2024</v>
      </c>
    </row>
    <row r="642" spans="1:11" x14ac:dyDescent="0.3">
      <c r="A642" s="4" t="s">
        <v>684</v>
      </c>
      <c r="B642" s="8">
        <v>45656</v>
      </c>
      <c r="C642" s="4" t="s">
        <v>34</v>
      </c>
      <c r="D642" s="4" t="s">
        <v>28</v>
      </c>
      <c r="E642" s="4" t="s">
        <v>17</v>
      </c>
      <c r="F642" s="4" t="s">
        <v>21</v>
      </c>
      <c r="G642" s="4">
        <v>4</v>
      </c>
      <c r="H642" s="2">
        <v>799</v>
      </c>
      <c r="I642" s="2">
        <v>3196</v>
      </c>
      <c r="J642" s="2" t="str">
        <f t="shared" ref="J642:J651" si="20">TEXT(B642,"mmm")</f>
        <v>Dec</v>
      </c>
      <c r="K642" s="4">
        <f t="shared" ref="K642:K651" si="21">YEAR(B642)</f>
        <v>2024</v>
      </c>
    </row>
    <row r="643" spans="1:11" x14ac:dyDescent="0.3">
      <c r="A643" s="4" t="s">
        <v>685</v>
      </c>
      <c r="B643" s="8">
        <v>45656</v>
      </c>
      <c r="C643" s="4" t="s">
        <v>40</v>
      </c>
      <c r="D643" s="4" t="s">
        <v>41</v>
      </c>
      <c r="E643" s="4" t="s">
        <v>12</v>
      </c>
      <c r="F643" s="4" t="s">
        <v>47</v>
      </c>
      <c r="G643" s="4">
        <v>2</v>
      </c>
      <c r="H643" s="2">
        <v>2199</v>
      </c>
      <c r="I643" s="2">
        <v>4398</v>
      </c>
      <c r="J643" s="2" t="str">
        <f t="shared" si="20"/>
        <v>Dec</v>
      </c>
      <c r="K643" s="4">
        <f t="shared" si="21"/>
        <v>2024</v>
      </c>
    </row>
    <row r="644" spans="1:11" x14ac:dyDescent="0.3">
      <c r="A644" s="4" t="s">
        <v>686</v>
      </c>
      <c r="B644" s="8">
        <v>45656</v>
      </c>
      <c r="C644" s="4" t="s">
        <v>15</v>
      </c>
      <c r="D644" s="4" t="s">
        <v>16</v>
      </c>
      <c r="E644" s="4" t="s">
        <v>17</v>
      </c>
      <c r="F644" s="4" t="s">
        <v>13</v>
      </c>
      <c r="G644" s="4">
        <v>7</v>
      </c>
      <c r="H644" s="2">
        <v>1999</v>
      </c>
      <c r="I644" s="2">
        <v>13993</v>
      </c>
      <c r="J644" s="2" t="str">
        <f t="shared" si="20"/>
        <v>Dec</v>
      </c>
      <c r="K644" s="4">
        <f t="shared" si="21"/>
        <v>2024</v>
      </c>
    </row>
    <row r="645" spans="1:11" x14ac:dyDescent="0.3">
      <c r="A645" s="4" t="s">
        <v>687</v>
      </c>
      <c r="B645" s="8">
        <v>45656</v>
      </c>
      <c r="C645" s="4" t="s">
        <v>15</v>
      </c>
      <c r="D645" s="4" t="s">
        <v>16</v>
      </c>
      <c r="E645" s="4" t="s">
        <v>24</v>
      </c>
      <c r="F645" s="4" t="s">
        <v>18</v>
      </c>
      <c r="G645" s="4">
        <v>4</v>
      </c>
      <c r="H645" s="2">
        <v>1999</v>
      </c>
      <c r="I645" s="2">
        <v>7996</v>
      </c>
      <c r="J645" s="2" t="str">
        <f t="shared" si="20"/>
        <v>Dec</v>
      </c>
      <c r="K645" s="4">
        <f t="shared" si="21"/>
        <v>2024</v>
      </c>
    </row>
    <row r="646" spans="1:11" x14ac:dyDescent="0.3">
      <c r="A646" s="4" t="s">
        <v>688</v>
      </c>
      <c r="B646" s="8">
        <v>45656</v>
      </c>
      <c r="C646" s="4" t="s">
        <v>67</v>
      </c>
      <c r="D646" s="4" t="s">
        <v>11</v>
      </c>
      <c r="E646" s="4" t="s">
        <v>17</v>
      </c>
      <c r="F646" s="4" t="s">
        <v>47</v>
      </c>
      <c r="G646" s="4">
        <v>4</v>
      </c>
      <c r="H646" s="2">
        <v>314.10000000000002</v>
      </c>
      <c r="I646" s="2">
        <v>1256.4000000000001</v>
      </c>
      <c r="J646" s="2" t="str">
        <f t="shared" si="20"/>
        <v>Dec</v>
      </c>
      <c r="K646" s="4">
        <f t="shared" si="21"/>
        <v>2024</v>
      </c>
    </row>
    <row r="647" spans="1:11" x14ac:dyDescent="0.3">
      <c r="A647" s="4" t="s">
        <v>689</v>
      </c>
      <c r="B647" s="8">
        <v>45656</v>
      </c>
      <c r="C647" s="4" t="s">
        <v>70</v>
      </c>
      <c r="D647" s="4" t="s">
        <v>28</v>
      </c>
      <c r="E647" s="4" t="s">
        <v>24</v>
      </c>
      <c r="F647" s="4" t="s">
        <v>18</v>
      </c>
      <c r="G647" s="4">
        <v>10</v>
      </c>
      <c r="H647" s="2">
        <v>1199</v>
      </c>
      <c r="I647" s="2">
        <v>11990</v>
      </c>
      <c r="J647" s="2" t="str">
        <f t="shared" si="20"/>
        <v>Dec</v>
      </c>
      <c r="K647" s="4">
        <f t="shared" si="21"/>
        <v>2024</v>
      </c>
    </row>
    <row r="648" spans="1:11" x14ac:dyDescent="0.3">
      <c r="A648" s="4" t="s">
        <v>690</v>
      </c>
      <c r="B648" s="8">
        <v>45657</v>
      </c>
      <c r="C648" s="4" t="s">
        <v>50</v>
      </c>
      <c r="D648" s="4" t="s">
        <v>41</v>
      </c>
      <c r="E648" s="4" t="s">
        <v>24</v>
      </c>
      <c r="F648" s="4" t="s">
        <v>18</v>
      </c>
      <c r="G648" s="4">
        <v>2</v>
      </c>
      <c r="H648" s="2">
        <v>849.15</v>
      </c>
      <c r="I648" s="2">
        <v>1698.3</v>
      </c>
      <c r="J648" s="2" t="str">
        <f t="shared" si="20"/>
        <v>Dec</v>
      </c>
      <c r="K648" s="4">
        <f t="shared" si="21"/>
        <v>2024</v>
      </c>
    </row>
    <row r="649" spans="1:11" x14ac:dyDescent="0.3">
      <c r="A649" s="4" t="s">
        <v>691</v>
      </c>
      <c r="B649" s="8">
        <v>45657</v>
      </c>
      <c r="C649" s="4" t="s">
        <v>37</v>
      </c>
      <c r="D649" s="4" t="s">
        <v>16</v>
      </c>
      <c r="E649" s="4" t="s">
        <v>24</v>
      </c>
      <c r="F649" s="4" t="s">
        <v>47</v>
      </c>
      <c r="G649" s="4">
        <v>4</v>
      </c>
      <c r="H649" s="2">
        <v>899</v>
      </c>
      <c r="I649" s="2">
        <v>3596</v>
      </c>
      <c r="J649" s="2" t="str">
        <f t="shared" si="20"/>
        <v>Dec</v>
      </c>
      <c r="K649" s="4">
        <f t="shared" si="21"/>
        <v>2024</v>
      </c>
    </row>
    <row r="650" spans="1:11" x14ac:dyDescent="0.3">
      <c r="A650" s="4" t="s">
        <v>692</v>
      </c>
      <c r="B650" s="8">
        <v>45657</v>
      </c>
      <c r="C650" s="4" t="s">
        <v>72</v>
      </c>
      <c r="D650" s="4" t="s">
        <v>16</v>
      </c>
      <c r="E650" s="4" t="s">
        <v>12</v>
      </c>
      <c r="F650" s="4" t="s">
        <v>25</v>
      </c>
      <c r="G650" s="4">
        <v>3</v>
      </c>
      <c r="H650" s="2">
        <v>1799</v>
      </c>
      <c r="I650" s="2">
        <v>5397</v>
      </c>
      <c r="J650" s="2" t="str">
        <f t="shared" si="20"/>
        <v>Dec</v>
      </c>
      <c r="K650" s="4">
        <f t="shared" si="21"/>
        <v>2024</v>
      </c>
    </row>
    <row r="651" spans="1:11" x14ac:dyDescent="0.3">
      <c r="A651" s="4" t="s">
        <v>693</v>
      </c>
      <c r="B651" s="8">
        <v>45657</v>
      </c>
      <c r="C651" s="4" t="s">
        <v>23</v>
      </c>
      <c r="D651" s="4" t="s">
        <v>16</v>
      </c>
      <c r="E651" s="4" t="s">
        <v>17</v>
      </c>
      <c r="F651" s="4" t="s">
        <v>32</v>
      </c>
      <c r="G651" s="4">
        <v>5</v>
      </c>
      <c r="H651" s="2">
        <v>2499</v>
      </c>
      <c r="I651" s="2">
        <v>12495</v>
      </c>
      <c r="J651" s="2" t="str">
        <f t="shared" si="20"/>
        <v>Dec</v>
      </c>
      <c r="K651" s="4">
        <f t="shared" si="2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Revenue</vt:lpstr>
      <vt:lpstr>Revenue by Category</vt:lpstr>
      <vt:lpstr>Sum of Revenue </vt:lpstr>
      <vt:lpstr>Revenue by Sales Rep</vt:lpstr>
      <vt:lpstr>order ID</vt:lpstr>
      <vt:lpstr>Sum of Unit Sold</vt:lpstr>
      <vt:lpstr>Top 5 Products by Revenue </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Dipak Chougule</dc:creator>
  <cp:lastModifiedBy>Dipak Chougule</cp:lastModifiedBy>
  <dcterms:created xsi:type="dcterms:W3CDTF">2026-07-19T14:41:13Z</dcterms:created>
  <dcterms:modified xsi:type="dcterms:W3CDTF">2026-07-21T12:18:45Z</dcterms:modified>
</cp:coreProperties>
</file>